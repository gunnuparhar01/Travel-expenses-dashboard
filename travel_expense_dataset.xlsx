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4FB146C834FB56E/Documents/"/>
    </mc:Choice>
  </mc:AlternateContent>
  <xr:revisionPtr revIDLastSave="1240" documentId="8_{CDFA00A6-1CC0-4E45-AD90-0606D0C776E8}" xr6:coauthVersionLast="47" xr6:coauthVersionMax="47" xr10:uidLastSave="{0A5AA52B-8DFC-4AE9-A097-C8F26BA5846F}"/>
  <bookViews>
    <workbookView xWindow="-108" yWindow="-108" windowWidth="23256" windowHeight="12456" firstSheet="1" activeTab="3" xr2:uid="{00000000-000D-0000-FFFF-FFFF00000000}"/>
  </bookViews>
  <sheets>
    <sheet name="Dashboard" sheetId="8" r:id="rId1"/>
    <sheet name="destination wise spending" sheetId="3" r:id="rId2"/>
    <sheet name="monthly spending trend" sheetId="4" r:id="rId3"/>
    <sheet name="category expenses" sheetId="5" r:id="rId4"/>
    <sheet name="Travel_Expense_Data" sheetId="1" r:id="rId5"/>
  </sheets>
  <definedNames>
    <definedName name="Slicer_Category">#N/A</definedName>
    <definedName name="Slicer_Destination">#N/A</definedName>
    <definedName name="Slicer_Month">#N/A</definedName>
  </definedNames>
  <calcPr calcId="191029"/>
  <pivotCaches>
    <pivotCache cacheId="0" r:id="rId6"/>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8" l="1"/>
  <c r="I9" i="8"/>
  <c r="E9" i="8"/>
  <c r="A9" i="8"/>
  <c r="B7" i="5"/>
  <c r="B6" i="5"/>
  <c r="B5" i="5"/>
  <c r="B4" i="5"/>
  <c r="B3" i="5"/>
  <c r="I3" i="1"/>
  <c r="I4" i="1"/>
  <c r="I5" i="1"/>
  <c r="I6" i="1"/>
  <c r="I7" i="1"/>
  <c r="I8" i="1"/>
  <c r="I9" i="1"/>
  <c r="I10" i="1"/>
  <c r="I11" i="1"/>
  <c r="I12" i="1"/>
  <c r="I13" i="1"/>
  <c r="I14" i="1"/>
  <c r="I15" i="1"/>
  <c r="I16" i="1"/>
  <c r="I17" i="1"/>
  <c r="I18" i="1"/>
  <c r="I19" i="1"/>
  <c r="I20" i="1"/>
  <c r="I21" i="1"/>
  <c r="I22" i="1"/>
  <c r="I23" i="1"/>
  <c r="I24" i="1"/>
  <c r="I25" i="1"/>
  <c r="I26" i="1"/>
  <c r="I2" i="1"/>
</calcChain>
</file>

<file path=xl/sharedStrings.xml><?xml version="1.0" encoding="utf-8"?>
<sst xmlns="http://schemas.openxmlformats.org/spreadsheetml/2006/main" count="124" uniqueCount="61">
  <si>
    <t>Trip_ID</t>
  </si>
  <si>
    <t>Destination</t>
  </si>
  <si>
    <t>Month</t>
  </si>
  <si>
    <t>Transport</t>
  </si>
  <si>
    <t>Hotel</t>
  </si>
  <si>
    <t>Food</t>
  </si>
  <si>
    <t>Shopping</t>
  </si>
  <si>
    <t>Other</t>
  </si>
  <si>
    <t>Total_Expense</t>
  </si>
  <si>
    <t>T01</t>
  </si>
  <si>
    <t>Manali</t>
  </si>
  <si>
    <t>Jan</t>
  </si>
  <si>
    <t>T02</t>
  </si>
  <si>
    <t>Goa</t>
  </si>
  <si>
    <t>May</t>
  </si>
  <si>
    <t>T03</t>
  </si>
  <si>
    <t>Pondicherry</t>
  </si>
  <si>
    <t>Jun</t>
  </si>
  <si>
    <t>T04</t>
  </si>
  <si>
    <t>Udaipur</t>
  </si>
  <si>
    <t>T05</t>
  </si>
  <si>
    <t>Rishikesh</t>
  </si>
  <si>
    <t>Mar</t>
  </si>
  <si>
    <t>T06</t>
  </si>
  <si>
    <t>Darjeeling</t>
  </si>
  <si>
    <t>T07</t>
  </si>
  <si>
    <t>T08</t>
  </si>
  <si>
    <t>Mysore</t>
  </si>
  <si>
    <t>Apr</t>
  </si>
  <si>
    <t>T09</t>
  </si>
  <si>
    <t>T10</t>
  </si>
  <si>
    <t>Kasol</t>
  </si>
  <si>
    <t>T11</t>
  </si>
  <si>
    <t>Feb</t>
  </si>
  <si>
    <t>T12</t>
  </si>
  <si>
    <t>T13</t>
  </si>
  <si>
    <t>T14</t>
  </si>
  <si>
    <t>T15</t>
  </si>
  <si>
    <t>T16</t>
  </si>
  <si>
    <t>T17</t>
  </si>
  <si>
    <t>T18</t>
  </si>
  <si>
    <t>T19</t>
  </si>
  <si>
    <t>T20</t>
  </si>
  <si>
    <t>T21</t>
  </si>
  <si>
    <t>T22</t>
  </si>
  <si>
    <t>T23</t>
  </si>
  <si>
    <t>T24</t>
  </si>
  <si>
    <t>T25</t>
  </si>
  <si>
    <t>Row Labels</t>
  </si>
  <si>
    <t>Grand Total</t>
  </si>
  <si>
    <t>Sum of Total_Expense</t>
  </si>
  <si>
    <t xml:space="preserve">Category </t>
  </si>
  <si>
    <t>Total Expense</t>
  </si>
  <si>
    <t xml:space="preserve">Transport </t>
  </si>
  <si>
    <t>shopping</t>
  </si>
  <si>
    <t>Sum of Total Expense</t>
  </si>
  <si>
    <t>Travel Expenses Dashboard</t>
  </si>
  <si>
    <t>Total Trips</t>
  </si>
  <si>
    <t>Total Spending</t>
  </si>
  <si>
    <t>Average Trip Cost</t>
  </si>
  <si>
    <t>Highest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</si>
</sst>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8"/>
      <color theme="7" tint="-0.249977111117893"/>
      <name val="Calibri"/>
      <family val="2"/>
      <scheme val="minor"/>
    </font>
    <font>
      <b/>
      <sz val="14"/>
      <color theme="7" tint="-0.249977111117893"/>
      <name val="Calibri"/>
      <family val="2"/>
      <scheme val="minor"/>
    </font>
    <font>
      <b/>
      <sz val="20"/>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0" fontId="0" fillId="3" borderId="10" xfId="0" applyFill="1" applyBorder="1" applyAlignment="1">
      <alignment horizontal="center"/>
    </xf>
    <xf numFmtId="0" fontId="0" fillId="3" borderId="0" xfId="0" applyFill="1" applyAlignment="1">
      <alignment horizontal="center"/>
    </xf>
    <xf numFmtId="0" fontId="4" fillId="4" borderId="1" xfId="0" applyFont="1" applyFill="1" applyBorder="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5" fillId="5" borderId="1" xfId="0" applyFont="1" applyFill="1" applyBorder="1" applyAlignment="1">
      <alignment horizontal="center" vertical="center"/>
    </xf>
    <xf numFmtId="0" fontId="0" fillId="0" borderId="0" xfId="0" applyNumberFormat="1"/>
  </cellXfs>
  <cellStyles count="1">
    <cellStyle name="Normal" xfId="0" builtinId="0"/>
  </cellStyles>
  <dxfs count="1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[travel_expense_dataset.xlsx]destination wise spending!PivotTable1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'destination wise spending'!$B$3</c:f>
              <c:strCache>
                <c:ptCount val="1"/>
                <c:pt idx="0">
                  <c:v>Total</c:v>
                </c:pt>
              </c:strCache>
            </c:strRef>
          </c:tx>
          <c:spPr>
            <a:solidFill>
              <a:schemeClr val="accent5"/>
            </a:solidFill>
            <a:ln>
              <a:noFill/>
            </a:ln>
            <a:effectLst/>
          </c:spPr>
          <c:invertIfNegative val="0"/>
          <c:cat>
            <c:strRef>
              <c:f>'destination wise spending'!$A$4:$A$12</c:f>
              <c:strCache>
                <c:ptCount val="8"/>
                <c:pt idx="0">
                  <c:v>Darjeeling</c:v>
                </c:pt>
                <c:pt idx="1">
                  <c:v>Goa</c:v>
                </c:pt>
                <c:pt idx="2">
                  <c:v>Kasol</c:v>
                </c:pt>
                <c:pt idx="3">
                  <c:v>Manali</c:v>
                </c:pt>
                <c:pt idx="4">
                  <c:v>Mysore</c:v>
                </c:pt>
                <c:pt idx="5">
                  <c:v>Pondicherry</c:v>
                </c:pt>
                <c:pt idx="6">
                  <c:v>Rishikesh</c:v>
                </c:pt>
                <c:pt idx="7">
                  <c:v>Udaipur</c:v>
                </c:pt>
              </c:strCache>
            </c:strRef>
          </c:cat>
          <c:val>
            <c:numRef>
              <c:f>'destination wise spending'!$B$4:$B$12</c:f>
              <c:numCache>
                <c:formatCode>General</c:formatCode>
                <c:ptCount val="8"/>
                <c:pt idx="0">
                  <c:v>64172</c:v>
                </c:pt>
                <c:pt idx="1">
                  <c:v>69418</c:v>
                </c:pt>
                <c:pt idx="2">
                  <c:v>33328</c:v>
                </c:pt>
                <c:pt idx="3">
                  <c:v>85713</c:v>
                </c:pt>
                <c:pt idx="4">
                  <c:v>34561</c:v>
                </c:pt>
                <c:pt idx="5">
                  <c:v>59921</c:v>
                </c:pt>
                <c:pt idx="6">
                  <c:v>76849</c:v>
                </c:pt>
                <c:pt idx="7">
                  <c:v>41904</c:v>
                </c:pt>
              </c:numCache>
            </c:numRef>
          </c:val>
          <c:extLst>
            <c:ext xmlns:c16="http://schemas.microsoft.com/office/drawing/2014/chart" uri="{C3380CC4-5D6E-409C-BE32-E72D297353CC}">
              <c16:uniqueId val="{00000000-1E1E-4704-9268-5C9BAD6CBA6D}"/>
            </c:ext>
          </c:extLst>
        </c:ser>
        <c:dLbls>
          <c:showLegendKey val="0"/>
          <c:showVal val="0"/>
          <c:showCatName val="0"/>
          <c:showSerName val="0"/>
          <c:showPercent val="0"/>
          <c:showBubbleSize val="0"/>
        </c:dLbls>
        <c:gapWidth val="182"/>
        <c:axId val="2040785743"/>
        <c:axId val="2040786223"/>
      </c:barChart>
      <c:catAx>
        <c:axId val="204078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40786223"/>
        <c:crosses val="autoZero"/>
        <c:auto val="1"/>
        <c:lblAlgn val="ctr"/>
        <c:lblOffset val="100"/>
        <c:noMultiLvlLbl val="0"/>
      </c:catAx>
      <c:valAx>
        <c:axId val="204078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4078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gradFill flip="none" rotWithShape="1">
        <a:gsLst>
          <a:gs pos="0">
            <a:schemeClr val="accent1">
              <a:lumMod val="72000"/>
              <a:lumOff val="2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round/>
    </a:ln>
    <a:effectLst>
      <a:glow rad="63500">
        <a:schemeClr val="accent4">
          <a:lumMod val="75000"/>
          <a:alpha val="40000"/>
        </a:schemeClr>
      </a:glo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[travel_expense_dataset.xlsx]monthly spending trend!PivotTable2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80927384077"/>
          <c:y val="0.23911599591717703"/>
          <c:w val="0.6965853018372703"/>
          <c:h val="0.53774387576552929"/>
        </c:manualLayout>
      </c:layout>
      <c:lineChart>
        <c:grouping val="standard"/>
        <c:varyColors val="0"/>
        <c:ser>
          <c:idx val="0"/>
          <c:order val="0"/>
          <c:tx>
            <c:strRef>
              <c:f>'monthly spending trend'!$B$3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'monthly spending trend'!$A$4:$A$10</c:f>
              <c:strCache>
                <c:ptCount val="6"/>
                <c:pt idx="0">
                  <c:v>Jan</c:v>
                </c:pt>
                <c:pt idx="1">
                  <c:v>Feb</c:v>
                </c:pt>
                <c:pt idx="2">
                  <c:v>Mar</c:v>
                </c:pt>
                <c:pt idx="3">
                  <c:v>Apr</c:v>
                </c:pt>
                <c:pt idx="4">
                  <c:v>May</c:v>
                </c:pt>
                <c:pt idx="5">
                  <c:v>Jun</c:v>
                </c:pt>
              </c:strCache>
            </c:strRef>
          </c:cat>
          <c:val>
            <c:numRef>
              <c:f>'monthly spending trend'!$B$4:$B$10</c:f>
              <c:numCache>
                <c:formatCode>General</c:formatCode>
                <c:ptCount val="6"/>
                <c:pt idx="0">
                  <c:v>99847</c:v>
                </c:pt>
                <c:pt idx="1">
                  <c:v>112885</c:v>
                </c:pt>
                <c:pt idx="2">
                  <c:v>114322</c:v>
                </c:pt>
                <c:pt idx="3">
                  <c:v>65073</c:v>
                </c:pt>
                <c:pt idx="4">
                  <c:v>51226</c:v>
                </c:pt>
                <c:pt idx="5">
                  <c:v>22513</c:v>
                </c:pt>
              </c:numCache>
            </c:numRef>
          </c:val>
          <c:smooth val="0"/>
          <c:extLst>
            <c:ext xmlns:c16="http://schemas.microsoft.com/office/drawing/2014/chart" uri="{C3380CC4-5D6E-409C-BE32-E72D297353CC}">
              <c16:uniqueId val="{00000000-BDE0-4E08-B4DD-2DF2C9F21010}"/>
            </c:ext>
          </c:extLst>
        </c:ser>
        <c:dLbls>
          <c:showLegendKey val="0"/>
          <c:showVal val="0"/>
          <c:showCatName val="0"/>
          <c:showSerName val="0"/>
          <c:showPercent val="0"/>
          <c:showBubbleSize val="0"/>
        </c:dLbls>
        <c:marker val="1"/>
        <c:smooth val="0"/>
        <c:axId val="1881475279"/>
        <c:axId val="1881466639"/>
      </c:lineChart>
      <c:catAx>
        <c:axId val="188147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66639"/>
        <c:crosses val="autoZero"/>
        <c:auto val="1"/>
        <c:lblAlgn val="ctr"/>
        <c:lblOffset val="100"/>
        <c:noMultiLvlLbl val="0"/>
      </c:catAx>
      <c:valAx>
        <c:axId val="188146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75279"/>
        <c:crosses val="autoZero"/>
        <c:crossBetween val="between"/>
      </c:valAx>
      <c:spPr>
        <a:noFill/>
        <a:ln>
          <a:noFill/>
        </a:ln>
        <a:effectLst/>
      </c:spPr>
    </c:plotArea>
    <c:legend>
      <c:legendPos val="r"/>
      <c:layout>
        <c:manualLayout>
          <c:xMode val="edge"/>
          <c:yMode val="edge"/>
          <c:x val="0.68883289588801411"/>
          <c:y val="0.46403907844852726"/>
          <c:w val="0.13894488188976378"/>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gradFill flip="none" rotWithShape="1">
        <a:gsLst>
          <a:gs pos="0">
            <a:schemeClr val="accent1">
              <a:lumMod val="72000"/>
              <a:lumOff val="2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round/>
    </a:ln>
    <a:effectLst>
      <a:glow rad="63500">
        <a:schemeClr val="accent4">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[travel_expense_dataset.xlsx]category expenses!PivotTable1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'category expenses'!$G$3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7ACF-4F90-BE06-77803FE4F358}"/>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7ACF-4F90-BE06-77803FE4F35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ACF-4F90-BE06-77803FE4F358}"/>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7ACF-4F90-BE06-77803FE4F358}"/>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7ACF-4F90-BE06-77803FE4F358}"/>
              </c:ext>
            </c:extLst>
          </c:dPt>
          <c:cat>
            <c:strRef>
              <c:f>'category expenses'!$F$4:$F$9</c:f>
              <c:strCache>
                <c:ptCount val="5"/>
                <c:pt idx="0">
                  <c:v>Food</c:v>
                </c:pt>
                <c:pt idx="1">
                  <c:v>Hotel</c:v>
                </c:pt>
                <c:pt idx="2">
                  <c:v>Other</c:v>
                </c:pt>
                <c:pt idx="3">
                  <c:v>shopping</c:v>
                </c:pt>
                <c:pt idx="4">
                  <c:v>Transport </c:v>
                </c:pt>
              </c:strCache>
            </c:strRef>
          </c:cat>
          <c:val>
            <c:numRef>
              <c:f>'category expenses'!$G$4:$G$9</c:f>
              <c:numCache>
                <c:formatCode>General</c:formatCode>
                <c:ptCount val="5"/>
                <c:pt idx="0">
                  <c:v>83315</c:v>
                </c:pt>
                <c:pt idx="1">
                  <c:v>180901</c:v>
                </c:pt>
                <c:pt idx="2">
                  <c:v>29967</c:v>
                </c:pt>
                <c:pt idx="3">
                  <c:v>54626</c:v>
                </c:pt>
                <c:pt idx="4">
                  <c:v>117057</c:v>
                </c:pt>
              </c:numCache>
            </c:numRef>
          </c:val>
          <c:extLst>
            <c:ext xmlns:c16="http://schemas.microsoft.com/office/drawing/2014/chart" uri="{C3380CC4-5D6E-409C-BE32-E72D297353CC}">
              <c16:uniqueId val="{0000000A-7ACF-4F90-BE06-77803FE4F3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gradFill>
        <a:gsLst>
          <a:gs pos="5000">
            <a:schemeClr val="accent1">
              <a:lumMod val="72000"/>
              <a:lumOff val="2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4">
          <a:lumMod val="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[travel_expense_dataset.xlsx]destination wise spending!PivotTable1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'destination wise spending'!$B$3</c:f>
              <c:strCache>
                <c:ptCount val="1"/>
                <c:pt idx="0">
                  <c:v>Total</c:v>
                </c:pt>
              </c:strCache>
            </c:strRef>
          </c:tx>
          <c:spPr>
            <a:solidFill>
              <a:schemeClr val="accent5"/>
            </a:solidFill>
            <a:ln>
              <a:noFill/>
            </a:ln>
            <a:effectLst/>
          </c:spPr>
          <c:invertIfNegative val="0"/>
          <c:cat>
            <c:strRef>
              <c:f>'destination wise spending'!$A$4:$A$12</c:f>
              <c:strCache>
                <c:ptCount val="8"/>
                <c:pt idx="0">
                  <c:v>Darjeeling</c:v>
                </c:pt>
                <c:pt idx="1">
                  <c:v>Goa</c:v>
                </c:pt>
                <c:pt idx="2">
                  <c:v>Kasol</c:v>
                </c:pt>
                <c:pt idx="3">
                  <c:v>Manali</c:v>
                </c:pt>
                <c:pt idx="4">
                  <c:v>Mysore</c:v>
                </c:pt>
                <c:pt idx="5">
                  <c:v>Pondicherry</c:v>
                </c:pt>
                <c:pt idx="6">
                  <c:v>Rishikesh</c:v>
                </c:pt>
                <c:pt idx="7">
                  <c:v>Udaipur</c:v>
                </c:pt>
              </c:strCache>
            </c:strRef>
          </c:cat>
          <c:val>
            <c:numRef>
              <c:f>'destination wise spending'!$B$4:$B$12</c:f>
              <c:numCache>
                <c:formatCode>General</c:formatCode>
                <c:ptCount val="8"/>
                <c:pt idx="0">
                  <c:v>64172</c:v>
                </c:pt>
                <c:pt idx="1">
                  <c:v>69418</c:v>
                </c:pt>
                <c:pt idx="2">
                  <c:v>33328</c:v>
                </c:pt>
                <c:pt idx="3">
                  <c:v>85713</c:v>
                </c:pt>
                <c:pt idx="4">
                  <c:v>34561</c:v>
                </c:pt>
                <c:pt idx="5">
                  <c:v>59921</c:v>
                </c:pt>
                <c:pt idx="6">
                  <c:v>76849</c:v>
                </c:pt>
                <c:pt idx="7">
                  <c:v>41904</c:v>
                </c:pt>
              </c:numCache>
            </c:numRef>
          </c:val>
          <c:extLst>
            <c:ext xmlns:c16="http://schemas.microsoft.com/office/drawing/2014/chart" uri="{C3380CC4-5D6E-409C-BE32-E72D297353CC}">
              <c16:uniqueId val="{00000000-10D6-4223-8E6B-2DD1DB47151F}"/>
            </c:ext>
          </c:extLst>
        </c:ser>
        <c:dLbls>
          <c:showLegendKey val="0"/>
          <c:showVal val="0"/>
          <c:showCatName val="0"/>
          <c:showSerName val="0"/>
          <c:showPercent val="0"/>
          <c:showBubbleSize val="0"/>
        </c:dLbls>
        <c:gapWidth val="182"/>
        <c:axId val="2040785743"/>
        <c:axId val="2040786223"/>
      </c:barChart>
      <c:catAx>
        <c:axId val="204078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40786223"/>
        <c:crosses val="autoZero"/>
        <c:auto val="1"/>
        <c:lblAlgn val="ctr"/>
        <c:lblOffset val="100"/>
        <c:noMultiLvlLbl val="0"/>
      </c:catAx>
      <c:valAx>
        <c:axId val="204078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4078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[travel_expense_dataset.xlsx]monthly spending trend!PivotTable2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spending trend'!$B$3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'monthly spending trend'!$A$4:$A$10</c:f>
              <c:strCache>
                <c:ptCount val="6"/>
                <c:pt idx="0">
                  <c:v>Jan</c:v>
                </c:pt>
                <c:pt idx="1">
                  <c:v>Feb</c:v>
                </c:pt>
                <c:pt idx="2">
                  <c:v>Mar</c:v>
                </c:pt>
                <c:pt idx="3">
                  <c:v>Apr</c:v>
                </c:pt>
                <c:pt idx="4">
                  <c:v>May</c:v>
                </c:pt>
                <c:pt idx="5">
                  <c:v>Jun</c:v>
                </c:pt>
              </c:strCache>
            </c:strRef>
          </c:cat>
          <c:val>
            <c:numRef>
              <c:f>'monthly spending trend'!$B$4:$B$10</c:f>
              <c:numCache>
                <c:formatCode>General</c:formatCode>
                <c:ptCount val="6"/>
                <c:pt idx="0">
                  <c:v>99847</c:v>
                </c:pt>
                <c:pt idx="1">
                  <c:v>112885</c:v>
                </c:pt>
                <c:pt idx="2">
                  <c:v>114322</c:v>
                </c:pt>
                <c:pt idx="3">
                  <c:v>65073</c:v>
                </c:pt>
                <c:pt idx="4">
                  <c:v>51226</c:v>
                </c:pt>
                <c:pt idx="5">
                  <c:v>22513</c:v>
                </c:pt>
              </c:numCache>
            </c:numRef>
          </c:val>
          <c:smooth val="0"/>
          <c:extLst>
            <c:ext xmlns:c16="http://schemas.microsoft.com/office/drawing/2014/chart" uri="{C3380CC4-5D6E-409C-BE32-E72D297353CC}">
              <c16:uniqueId val="{00000000-18F5-4440-A382-F26DC203696C}"/>
            </c:ext>
          </c:extLst>
        </c:ser>
        <c:dLbls>
          <c:showLegendKey val="0"/>
          <c:showVal val="0"/>
          <c:showCatName val="0"/>
          <c:showSerName val="0"/>
          <c:showPercent val="0"/>
          <c:showBubbleSize val="0"/>
        </c:dLbls>
        <c:marker val="1"/>
        <c:smooth val="0"/>
        <c:axId val="1881475279"/>
        <c:axId val="1881466639"/>
      </c:lineChart>
      <c:catAx>
        <c:axId val="188147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66639"/>
        <c:crosses val="autoZero"/>
        <c:auto val="1"/>
        <c:lblAlgn val="ctr"/>
        <c:lblOffset val="100"/>
        <c:noMultiLvlLbl val="0"/>
      </c:catAx>
      <c:valAx>
        <c:axId val="188146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7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[travel_expense_dataset.xlsx]category expenses!PivotTable1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 expenses'!$G$3</c:f>
              <c:strCache>
                <c:ptCount val="1"/>
                <c:pt idx="0">
                  <c:v>Total</c:v>
                </c:pt>
              </c:strCache>
            </c:strRef>
          </c:tx>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cat>
            <c:strRef>
              <c:f>'category expenses'!$F$4:$F$9</c:f>
              <c:strCache>
                <c:ptCount val="5"/>
                <c:pt idx="0">
                  <c:v>Food</c:v>
                </c:pt>
                <c:pt idx="1">
                  <c:v>Hotel</c:v>
                </c:pt>
                <c:pt idx="2">
                  <c:v>Other</c:v>
                </c:pt>
                <c:pt idx="3">
                  <c:v>shopping</c:v>
                </c:pt>
                <c:pt idx="4">
                  <c:v>Transport </c:v>
                </c:pt>
              </c:strCache>
            </c:strRef>
          </c:cat>
          <c:val>
            <c:numRef>
              <c:f>'category expenses'!$G$4:$G$9</c:f>
              <c:numCache>
                <c:formatCode>General</c:formatCode>
                <c:ptCount val="5"/>
                <c:pt idx="0">
                  <c:v>83315</c:v>
                </c:pt>
                <c:pt idx="1">
                  <c:v>180901</c:v>
                </c:pt>
                <c:pt idx="2">
                  <c:v>29967</c:v>
                </c:pt>
                <c:pt idx="3">
                  <c:v>54626</c:v>
                </c:pt>
                <c:pt idx="4">
                  <c:v>117057</c:v>
                </c:pt>
              </c:numCache>
            </c:numRef>
          </c:val>
          <c:extLst>
            <c:ext xmlns:c16="http://schemas.microsoft.com/office/drawing/2014/chart" uri="{C3380CC4-5D6E-409C-BE32-E72D297353CC}">
              <c16:uniqueId val="{00000000-BB01-4D64-82B0-8CFBB22E13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5">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41031</xdr:colOff>
      <xdr:row>12</xdr:row>
      <xdr:rowOff>34583</xdr:rowOff>
    </xdr:from>
    <xdr:to>
      <xdr:col>7</xdr:col>
      <xdr:colOff>345831</xdr:colOff>
      <xdr:row>27</xdr:row>
      <xdr:rowOff>34583</xdr:rowOff>
    </xdr:to>
    <xdr:graphicFrame macro="">
      <xdr:nvGraphicFramePr>
        <xdr:cNvPr id="4" name="Chart 3">
          <a:extLst>
            <a:ext uri="{FF2B5EF4-FFF2-40B4-BE49-F238E27FC236}">
              <a16:creationId xmlns:a16="http://schemas.microsoft.com/office/drawing/2014/main" id="{7142FCAF-3C26-48B4-89EC-1D211B86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12</xdr:row>
      <xdr:rowOff>30480</xdr:rowOff>
    </xdr:from>
    <xdr:to>
      <xdr:col>15</xdr:col>
      <xdr:colOff>335280</xdr:colOff>
      <xdr:row>27</xdr:row>
      <xdr:rowOff>30480</xdr:rowOff>
    </xdr:to>
    <xdr:graphicFrame macro="">
      <xdr:nvGraphicFramePr>
        <xdr:cNvPr id="6" name="Chart 5">
          <a:extLst>
            <a:ext uri="{FF2B5EF4-FFF2-40B4-BE49-F238E27FC236}">
              <a16:creationId xmlns:a16="http://schemas.microsoft.com/office/drawing/2014/main" id="{3BB812C0-8877-4654-81B5-173845F06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39858</xdr:colOff>
      <xdr:row>2</xdr:row>
      <xdr:rowOff>3518</xdr:rowOff>
    </xdr:from>
    <xdr:to>
      <xdr:col>4</xdr:col>
      <xdr:colOff>424147</xdr:colOff>
      <xdr:row>5</xdr:row>
      <xdr:rowOff>172675</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00AFE346-7C44-4A8A-BB7A-C9D84C9ED3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9858" y="370747"/>
              <a:ext cx="2808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577743</xdr:colOff>
      <xdr:row>1</xdr:row>
      <xdr:rowOff>175262</xdr:rowOff>
    </xdr:from>
    <xdr:to>
      <xdr:col>10</xdr:col>
      <xdr:colOff>554871</xdr:colOff>
      <xdr:row>5</xdr:row>
      <xdr:rowOff>163742</xdr:rowOff>
    </xdr:to>
    <mc:AlternateContent xmlns:mc="http://schemas.openxmlformats.org/markup-compatibility/2006">
      <mc:Choice xmlns:a14="http://schemas.microsoft.com/office/drawing/2010/main" Requires="a14">
        <xdr:graphicFrame macro="">
          <xdr:nvGraphicFramePr>
            <xdr:cNvPr id="10" name="Destination 1">
              <a:extLst>
                <a:ext uri="{FF2B5EF4-FFF2-40B4-BE49-F238E27FC236}">
                  <a16:creationId xmlns:a16="http://schemas.microsoft.com/office/drawing/2014/main" id="{DA7914C5-E34B-4D4A-BF58-E7700EFA400B}"/>
                </a:ext>
              </a:extLst>
            </xdr:cNvPr>
            <xdr:cNvGraphicFramePr/>
          </xdr:nvGraphicFramePr>
          <xdr:xfrm>
            <a:off x="0" y="0"/>
            <a:ext cx="0" cy="0"/>
          </xdr:xfrm>
          <a:graphic>
            <a:graphicData uri="http://schemas.microsoft.com/office/drawing/2010/slicer">
              <sle:slicer xmlns:sle="http://schemas.microsoft.com/office/drawing/2010/slicer" name="Destination 1"/>
            </a:graphicData>
          </a:graphic>
        </xdr:graphicFrame>
      </mc:Choice>
      <mc:Fallback>
        <xdr:sp macro="" textlink="">
          <xdr:nvSpPr>
            <xdr:cNvPr id="0" name=""/>
            <xdr:cNvSpPr>
              <a:spLocks noTextEdit="1"/>
            </xdr:cNvSpPr>
          </xdr:nvSpPr>
          <xdr:spPr>
            <a:xfrm>
              <a:off x="3001454" y="358876"/>
              <a:ext cx="3612694" cy="72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434340</xdr:colOff>
      <xdr:row>28</xdr:row>
      <xdr:rowOff>114300</xdr:rowOff>
    </xdr:from>
    <xdr:to>
      <xdr:col>11</xdr:col>
      <xdr:colOff>129540</xdr:colOff>
      <xdr:row>43</xdr:row>
      <xdr:rowOff>114300</xdr:rowOff>
    </xdr:to>
    <xdr:graphicFrame macro="">
      <xdr:nvGraphicFramePr>
        <xdr:cNvPr id="13" name="Chart 12">
          <a:extLst>
            <a:ext uri="{FF2B5EF4-FFF2-40B4-BE49-F238E27FC236}">
              <a16:creationId xmlns:a16="http://schemas.microsoft.com/office/drawing/2014/main" id="{43EBF17A-8C48-4AB7-B4D8-EEA745BD2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112994</xdr:colOff>
      <xdr:row>2</xdr:row>
      <xdr:rowOff>7627</xdr:rowOff>
    </xdr:from>
    <xdr:to>
      <xdr:col>15</xdr:col>
      <xdr:colOff>503433</xdr:colOff>
      <xdr:row>5</xdr:row>
      <xdr:rowOff>160965</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09045B46-A71C-4A05-9F1F-C96BC2CC0E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778199" y="374856"/>
              <a:ext cx="2814150" cy="704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2</xdr:row>
      <xdr:rowOff>80010</xdr:rowOff>
    </xdr:from>
    <xdr:to>
      <xdr:col>10</xdr:col>
      <xdr:colOff>350520</xdr:colOff>
      <xdr:row>17</xdr:row>
      <xdr:rowOff>80010</xdr:rowOff>
    </xdr:to>
    <xdr:graphicFrame macro="">
      <xdr:nvGraphicFramePr>
        <xdr:cNvPr id="3" name="Chart 2">
          <a:extLst>
            <a:ext uri="{FF2B5EF4-FFF2-40B4-BE49-F238E27FC236}">
              <a16:creationId xmlns:a16="http://schemas.microsoft.com/office/drawing/2014/main" id="{097F8E56-34FE-D292-8A04-3B307C38C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1</xdr:row>
      <xdr:rowOff>129540</xdr:rowOff>
    </xdr:from>
    <xdr:to>
      <xdr:col>14</xdr:col>
      <xdr:colOff>495300</xdr:colOff>
      <xdr:row>15</xdr:row>
      <xdr:rowOff>36195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28834DD3-F357-F4E2-AE98-B1C4B3EDB07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19912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13</xdr:row>
      <xdr:rowOff>30480</xdr:rowOff>
    </xdr:from>
    <xdr:to>
      <xdr:col>2</xdr:col>
      <xdr:colOff>571500</xdr:colOff>
      <xdr:row>26</xdr:row>
      <xdr:rowOff>120015</xdr:rowOff>
    </xdr:to>
    <mc:AlternateContent xmlns:mc="http://schemas.openxmlformats.org/markup-compatibility/2006">
      <mc:Choice xmlns:a14="http://schemas.microsoft.com/office/drawing/2010/main" Requires="a14">
        <xdr:graphicFrame macro="">
          <xdr:nvGraphicFramePr>
            <xdr:cNvPr id="6" name="Destination">
              <a:extLst>
                <a:ext uri="{FF2B5EF4-FFF2-40B4-BE49-F238E27FC236}">
                  <a16:creationId xmlns:a16="http://schemas.microsoft.com/office/drawing/2014/main" id="{04830B65-63DA-5C57-E251-F6E5363E0712}"/>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960120" y="2407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1</xdr:row>
      <xdr:rowOff>179070</xdr:rowOff>
    </xdr:from>
    <xdr:to>
      <xdr:col>10</xdr:col>
      <xdr:colOff>335280</xdr:colOff>
      <xdr:row>16</xdr:row>
      <xdr:rowOff>179070</xdr:rowOff>
    </xdr:to>
    <xdr:graphicFrame macro="">
      <xdr:nvGraphicFramePr>
        <xdr:cNvPr id="2" name="Chart 1">
          <a:extLst>
            <a:ext uri="{FF2B5EF4-FFF2-40B4-BE49-F238E27FC236}">
              <a16:creationId xmlns:a16="http://schemas.microsoft.com/office/drawing/2014/main" id="{84A9AAD4-91A3-9FB8-7A60-47F3F7329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822960</xdr:colOff>
      <xdr:row>10</xdr:row>
      <xdr:rowOff>57150</xdr:rowOff>
    </xdr:from>
    <xdr:to>
      <xdr:col>8</xdr:col>
      <xdr:colOff>213360</xdr:colOff>
      <xdr:row>25</xdr:row>
      <xdr:rowOff>57150</xdr:rowOff>
    </xdr:to>
    <xdr:graphicFrame macro="">
      <xdr:nvGraphicFramePr>
        <xdr:cNvPr id="5" name="Chart 4">
          <a:extLst>
            <a:ext uri="{FF2B5EF4-FFF2-40B4-BE49-F238E27FC236}">
              <a16:creationId xmlns:a16="http://schemas.microsoft.com/office/drawing/2014/main" id="{500B4EC5-5F30-E8BA-CB33-12CA773EF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45720</xdr:colOff>
      <xdr:row>2</xdr:row>
      <xdr:rowOff>175260</xdr:rowOff>
    </xdr:from>
    <xdr:to>
      <xdr:col>13</xdr:col>
      <xdr:colOff>228600</xdr:colOff>
      <xdr:row>16</xdr:row>
      <xdr:rowOff>81915</xdr:rowOff>
    </xdr:to>
    <mc:AlternateContent xmlns:mc="http://schemas.openxmlformats.org/markup-compatibility/2006">
      <mc:Choice xmlns:a14="http://schemas.microsoft.com/office/drawing/2010/main" Requires="a14">
        <xdr:graphicFrame macro="">
          <xdr:nvGraphicFramePr>
            <xdr:cNvPr id="6" name="Category ">
              <a:extLst>
                <a:ext uri="{FF2B5EF4-FFF2-40B4-BE49-F238E27FC236}">
                  <a16:creationId xmlns:a16="http://schemas.microsoft.com/office/drawing/2014/main" id="{836FB623-6383-4340-C8F6-8BAFFC194711}"/>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dr:sp macro="" textlink="">
          <xdr:nvSpPr>
            <xdr:cNvPr id="0" name=""/>
            <xdr:cNvSpPr>
              <a:spLocks noTextEdit="1"/>
            </xdr:cNvSpPr>
          </xdr:nvSpPr>
          <xdr:spPr>
            <a:xfrm>
              <a:off x="699516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Parihar" refreshedDate="46157.615438773151" createdVersion="8" refreshedVersion="8" minRefreshableVersion="3" recordCount="25" xr:uid="{C0E09CE7-DC1C-465B-9CF7-5E3E13BF0693}">
  <cacheSource type="worksheet">
    <worksheetSource name="Table1"/>
  </cacheSource>
  <cacheFields count="9">
    <cacheField name="Trip_ID" numFmtId="0">
      <sharedItems/>
    </cacheField>
    <cacheField name="Destination" numFmtId="0">
      <sharedItems count="8">
        <s v="Manali"/>
        <s v="Goa"/>
        <s v="Pondicherry"/>
        <s v="Udaipur"/>
        <s v="Rishikesh"/>
        <s v="Darjeeling"/>
        <s v="Mysore"/>
        <s v="Kasol"/>
      </sharedItems>
    </cacheField>
    <cacheField name="Month" numFmtId="0">
      <sharedItems count="6">
        <s v="Jan"/>
        <s v="May"/>
        <s v="Jun"/>
        <s v="Mar"/>
        <s v="Apr"/>
        <s v="Feb"/>
      </sharedItems>
    </cacheField>
    <cacheField name="Transport" numFmtId="0">
      <sharedItems containsSemiMixedTypes="0" containsString="0" containsNumber="1" containsInteger="1" minValue="2128" maxValue="6860" count="25">
        <n v="3144"/>
        <n v="6137"/>
        <n v="6435"/>
        <n v="3011"/>
        <n v="5049"/>
        <n v="2995"/>
        <n v="3188"/>
        <n v="6627"/>
        <n v="3986"/>
        <n v="6860"/>
        <n v="2838"/>
        <n v="5896"/>
        <n v="5820"/>
        <n v="5472"/>
        <n v="3688"/>
        <n v="5171"/>
        <n v="6057"/>
        <n v="3838"/>
        <n v="2985"/>
        <n v="4592"/>
        <n v="6557"/>
        <n v="2128"/>
        <n v="6808"/>
        <n v="2710"/>
        <n v="5065"/>
      </sharedItems>
    </cacheField>
    <cacheField name="Hotel" numFmtId="0">
      <sharedItems containsSemiMixedTypes="0" containsString="0" containsNumber="1" containsInteger="1" minValue="3101" maxValue="11756" count="25">
        <n v="10638"/>
        <n v="4001"/>
        <n v="6977"/>
        <n v="10166"/>
        <n v="11756"/>
        <n v="3596"/>
        <n v="7232"/>
        <n v="6488"/>
        <n v="5152"/>
        <n v="5310"/>
        <n v="3184"/>
        <n v="7699"/>
        <n v="5541"/>
        <n v="7066"/>
        <n v="10097"/>
        <n v="10952"/>
        <n v="5112"/>
        <n v="3101"/>
        <n v="9884"/>
        <n v="11637"/>
        <n v="10582"/>
        <n v="6655"/>
        <n v="3573"/>
        <n v="10628"/>
        <n v="3874"/>
      </sharedItems>
    </cacheField>
    <cacheField name="Food" numFmtId="0">
      <sharedItems containsSemiMixedTypes="0" containsString="0" containsNumber="1" containsInteger="1" minValue="1295" maxValue="4789" count="25">
        <n v="4754"/>
        <n v="1557"/>
        <n v="3390"/>
        <n v="3665"/>
        <n v="4004"/>
        <n v="2437"/>
        <n v="4017"/>
        <n v="2480"/>
        <n v="1935"/>
        <n v="1419"/>
        <n v="3781"/>
        <n v="4216"/>
        <n v="4599"/>
        <n v="2992"/>
        <n v="3508"/>
        <n v="4207"/>
        <n v="4624"/>
        <n v="3129"/>
        <n v="1354"/>
        <n v="3799"/>
        <n v="3262"/>
        <n v="1295"/>
        <n v="4541"/>
        <n v="4789"/>
        <n v="3561"/>
      </sharedItems>
    </cacheField>
    <cacheField name="Shopping" numFmtId="0">
      <sharedItems containsSemiMixedTypes="0" containsString="0" containsNumber="1" containsInteger="1" minValue="636" maxValue="3752" count="25">
        <n v="3528"/>
        <n v="3392"/>
        <n v="3752"/>
        <n v="636"/>
        <n v="1187"/>
        <n v="3566"/>
        <n v="1245"/>
        <n v="757"/>
        <n v="1723"/>
        <n v="2474"/>
        <n v="3424"/>
        <n v="2228"/>
        <n v="1015"/>
        <n v="2025"/>
        <n v="3593"/>
        <n v="1322"/>
        <n v="2581"/>
        <n v="3388"/>
        <n v="1533"/>
        <n v="2215"/>
        <n v="1164"/>
        <n v="648"/>
        <n v="2655"/>
        <n v="2730"/>
        <n v="1845"/>
      </sharedItems>
    </cacheField>
    <cacheField name="Other" numFmtId="0">
      <sharedItems containsSemiMixedTypes="0" containsString="0" containsNumber="1" containsInteger="1" minValue="342" maxValue="2497" count="25">
        <n v="2446"/>
        <n v="2497"/>
        <n v="1959"/>
        <n v="393"/>
        <n v="1262"/>
        <n v="488"/>
        <n v="342"/>
        <n v="922"/>
        <n v="909"/>
        <n v="972"/>
        <n v="679"/>
        <n v="793"/>
        <n v="374"/>
        <n v="385"/>
        <n v="1335"/>
        <n v="1850"/>
        <n v="1253"/>
        <n v="2261"/>
        <n v="1531"/>
        <n v="1790"/>
        <n v="847"/>
        <n v="1155"/>
        <n v="800"/>
        <n v="776"/>
        <n v="1948"/>
      </sharedItems>
    </cacheField>
    <cacheField name="Total_Expense" numFmtId="0">
      <sharedItems containsSemiMixedTypes="0" containsString="0" containsNumber="1" containsInteger="1" minValue="11881" maxValue="24510"/>
    </cacheField>
  </cacheFields>
  <extLst>
    <ext xmlns:x14="http://schemas.microsoft.com/office/spreadsheetml/2009/9/main" uri="{725AE2AE-9491-48be-B2B4-4EB974FC3084}">
      <x14:pivotCacheDefinition pivotCacheId="17470604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Parihar" refreshedDate="46157.864711689814" createdVersion="8" refreshedVersion="8" minRefreshableVersion="3" recordCount="5" xr:uid="{B34F988B-04C0-4BBB-A7D7-04319EACB0F2}">
  <cacheSource type="worksheet">
    <worksheetSource name="Table2"/>
  </cacheSource>
  <cacheFields count="2">
    <cacheField name="Category " numFmtId="0">
      <sharedItems count="5">
        <s v="Transport "/>
        <s v="Hotel"/>
        <s v="Food"/>
        <s v="shopping"/>
        <s v="Other"/>
      </sharedItems>
    </cacheField>
    <cacheField name="Total Expense" numFmtId="0">
      <sharedItems containsSemiMixedTypes="0" containsString="0" containsNumber="1" containsInteger="1" minValue="29967" maxValue="180901" count="5">
        <n v="117057"/>
        <n v="180901"/>
        <n v="83315"/>
        <n v="54626"/>
        <n v="29967"/>
      </sharedItems>
    </cacheField>
  </cacheFields>
  <extLst>
    <ext xmlns:x14="http://schemas.microsoft.com/office/spreadsheetml/2009/9/main" uri="{725AE2AE-9491-48be-B2B4-4EB974FC3084}">
      <x14:pivotCacheDefinition pivotCacheId="458405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T01"/>
    <x v="0"/>
    <x v="0"/>
    <x v="0"/>
    <x v="0"/>
    <x v="0"/>
    <x v="0"/>
    <x v="0"/>
    <n v="24510"/>
  </r>
  <r>
    <s v="T02"/>
    <x v="1"/>
    <x v="1"/>
    <x v="1"/>
    <x v="1"/>
    <x v="1"/>
    <x v="1"/>
    <x v="1"/>
    <n v="17584"/>
  </r>
  <r>
    <s v="T03"/>
    <x v="2"/>
    <x v="2"/>
    <x v="2"/>
    <x v="2"/>
    <x v="2"/>
    <x v="2"/>
    <x v="2"/>
    <n v="22513"/>
  </r>
  <r>
    <s v="T04"/>
    <x v="3"/>
    <x v="0"/>
    <x v="3"/>
    <x v="3"/>
    <x v="3"/>
    <x v="3"/>
    <x v="3"/>
    <n v="17871"/>
  </r>
  <r>
    <s v="T05"/>
    <x v="4"/>
    <x v="3"/>
    <x v="4"/>
    <x v="4"/>
    <x v="4"/>
    <x v="4"/>
    <x v="4"/>
    <n v="23258"/>
  </r>
  <r>
    <s v="T06"/>
    <x v="5"/>
    <x v="3"/>
    <x v="5"/>
    <x v="5"/>
    <x v="5"/>
    <x v="5"/>
    <x v="5"/>
    <n v="13082"/>
  </r>
  <r>
    <s v="T07"/>
    <x v="4"/>
    <x v="0"/>
    <x v="6"/>
    <x v="6"/>
    <x v="6"/>
    <x v="6"/>
    <x v="6"/>
    <n v="16024"/>
  </r>
  <r>
    <s v="T08"/>
    <x v="6"/>
    <x v="4"/>
    <x v="7"/>
    <x v="7"/>
    <x v="7"/>
    <x v="7"/>
    <x v="7"/>
    <n v="17274"/>
  </r>
  <r>
    <s v="T09"/>
    <x v="1"/>
    <x v="4"/>
    <x v="8"/>
    <x v="8"/>
    <x v="8"/>
    <x v="8"/>
    <x v="8"/>
    <n v="13705"/>
  </r>
  <r>
    <s v="T10"/>
    <x v="7"/>
    <x v="3"/>
    <x v="9"/>
    <x v="9"/>
    <x v="9"/>
    <x v="9"/>
    <x v="9"/>
    <n v="17035"/>
  </r>
  <r>
    <s v="T11"/>
    <x v="2"/>
    <x v="5"/>
    <x v="10"/>
    <x v="10"/>
    <x v="10"/>
    <x v="10"/>
    <x v="10"/>
    <n v="13906"/>
  </r>
  <r>
    <s v="T12"/>
    <x v="5"/>
    <x v="5"/>
    <x v="11"/>
    <x v="11"/>
    <x v="11"/>
    <x v="11"/>
    <x v="11"/>
    <n v="20832"/>
  </r>
  <r>
    <s v="T13"/>
    <x v="0"/>
    <x v="1"/>
    <x v="12"/>
    <x v="12"/>
    <x v="12"/>
    <x v="12"/>
    <x v="12"/>
    <n v="17349"/>
  </r>
  <r>
    <s v="T14"/>
    <x v="4"/>
    <x v="0"/>
    <x v="13"/>
    <x v="13"/>
    <x v="13"/>
    <x v="13"/>
    <x v="13"/>
    <n v="17940"/>
  </r>
  <r>
    <s v="T15"/>
    <x v="0"/>
    <x v="5"/>
    <x v="14"/>
    <x v="14"/>
    <x v="14"/>
    <x v="14"/>
    <x v="14"/>
    <n v="22221"/>
  </r>
  <r>
    <s v="T16"/>
    <x v="2"/>
    <x v="0"/>
    <x v="15"/>
    <x v="15"/>
    <x v="15"/>
    <x v="15"/>
    <x v="15"/>
    <n v="23502"/>
  </r>
  <r>
    <s v="T17"/>
    <x v="4"/>
    <x v="3"/>
    <x v="16"/>
    <x v="16"/>
    <x v="16"/>
    <x v="16"/>
    <x v="16"/>
    <n v="19627"/>
  </r>
  <r>
    <s v="T18"/>
    <x v="1"/>
    <x v="4"/>
    <x v="17"/>
    <x v="17"/>
    <x v="17"/>
    <x v="17"/>
    <x v="17"/>
    <n v="15717"/>
  </r>
  <r>
    <s v="T19"/>
    <x v="6"/>
    <x v="3"/>
    <x v="18"/>
    <x v="18"/>
    <x v="18"/>
    <x v="18"/>
    <x v="18"/>
    <n v="17287"/>
  </r>
  <r>
    <s v="T20"/>
    <x v="3"/>
    <x v="3"/>
    <x v="19"/>
    <x v="19"/>
    <x v="19"/>
    <x v="19"/>
    <x v="19"/>
    <n v="24033"/>
  </r>
  <r>
    <s v="T21"/>
    <x v="1"/>
    <x v="5"/>
    <x v="20"/>
    <x v="20"/>
    <x v="20"/>
    <x v="20"/>
    <x v="20"/>
    <n v="22412"/>
  </r>
  <r>
    <s v="T22"/>
    <x v="5"/>
    <x v="5"/>
    <x v="21"/>
    <x v="21"/>
    <x v="21"/>
    <x v="21"/>
    <x v="21"/>
    <n v="11881"/>
  </r>
  <r>
    <s v="T23"/>
    <x v="5"/>
    <x v="4"/>
    <x v="22"/>
    <x v="22"/>
    <x v="22"/>
    <x v="22"/>
    <x v="22"/>
    <n v="18377"/>
  </r>
  <r>
    <s v="T24"/>
    <x v="0"/>
    <x v="5"/>
    <x v="23"/>
    <x v="23"/>
    <x v="23"/>
    <x v="23"/>
    <x v="23"/>
    <n v="21633"/>
  </r>
  <r>
    <s v="T25"/>
    <x v="7"/>
    <x v="1"/>
    <x v="24"/>
    <x v="24"/>
    <x v="24"/>
    <x v="24"/>
    <x v="24"/>
    <n v="162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E9495-9911-488F-B0E9-E4E1BF41A9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2" firstHeaderRow="1" firstDataRow="1" firstDataCol="1"/>
  <pivotFields count="9">
    <pivotField showAll="0"/>
    <pivotField axis="axisRow" showAll="0">
      <items count="9">
        <item x="5"/>
        <item x="1"/>
        <item x="7"/>
        <item x="0"/>
        <item x="6"/>
        <item x="2"/>
        <item x="4"/>
        <item x="3"/>
        <item t="default"/>
      </items>
    </pivotField>
    <pivotField showAll="0">
      <items count="7">
        <item x="0"/>
        <item x="5"/>
        <item x="3"/>
        <item x="4"/>
        <item x="1"/>
        <item x="2"/>
        <item t="default"/>
      </items>
    </pivotField>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 of Total_Expense" fld="8" baseField="0" baseItem="0"/>
  </dataFields>
  <chartFormats count="2">
    <chartFormat chart="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8D32C-7134-40C2-A31E-E043F6F33E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9">
    <pivotField showAll="0"/>
    <pivotField showAll="0">
      <items count="9">
        <item x="5"/>
        <item x="1"/>
        <item x="7"/>
        <item x="0"/>
        <item x="6"/>
        <item x="2"/>
        <item x="4"/>
        <item x="3"/>
        <item t="default"/>
      </items>
    </pivotField>
    <pivotField axis="axisRow" showAll="0">
      <items count="7">
        <item x="0"/>
        <item x="5"/>
        <item x="3"/>
        <item x="4"/>
        <item x="1"/>
        <item x="2"/>
        <item t="default"/>
      </items>
    </pivotField>
    <pivotField showAll="0"/>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Total_Expense" fld="8" baseField="0" baseItem="0"/>
  </dataFields>
  <chartFormats count="2">
    <chartFormat chart="16"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957A05-BF75-4232-8D2D-D580ABCC632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3:G9" firstHeaderRow="1" firstDataRow="1" firstDataCol="1"/>
  <pivotFields count="2">
    <pivotField axis="axisRow" showAll="0">
      <items count="6">
        <item x="2"/>
        <item x="1"/>
        <item x="4"/>
        <item x="3"/>
        <item x="0"/>
        <item t="default"/>
      </items>
    </pivotField>
    <pivotField dataField="1" showAll="0">
      <items count="6">
        <item x="4"/>
        <item x="3"/>
        <item x="2"/>
        <item x="0"/>
        <item x="1"/>
        <item t="default"/>
      </items>
    </pivotField>
  </pivotFields>
  <rowFields count="1">
    <field x="0"/>
  </rowFields>
  <rowItems count="6">
    <i>
      <x/>
    </i>
    <i>
      <x v="1"/>
    </i>
    <i>
      <x v="2"/>
    </i>
    <i>
      <x v="3"/>
    </i>
    <i>
      <x v="4"/>
    </i>
    <i t="grand">
      <x/>
    </i>
  </rowItems>
  <colItems count="1">
    <i/>
  </colItems>
  <dataFields count="1">
    <dataField name="Sum of Total Expense" fld="1" baseField="0" baseItem="0"/>
  </dataFields>
  <chartFormats count="7">
    <chartFormat chart="6"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0" count="1" selected="0">
            <x v="0"/>
          </reference>
        </references>
      </pivotArea>
    </chartFormat>
    <chartFormat chart="16" format="9">
      <pivotArea type="data" outline="0" fieldPosition="0">
        <references count="2">
          <reference field="4294967294" count="1" selected="0">
            <x v="0"/>
          </reference>
          <reference field="0" count="1" selected="0">
            <x v="1"/>
          </reference>
        </references>
      </pivotArea>
    </chartFormat>
    <chartFormat chart="16" format="10">
      <pivotArea type="data" outline="0" fieldPosition="0">
        <references count="2">
          <reference field="4294967294" count="1" selected="0">
            <x v="0"/>
          </reference>
          <reference field="0" count="1" selected="0">
            <x v="2"/>
          </reference>
        </references>
      </pivotArea>
    </chartFormat>
    <chartFormat chart="16" format="11">
      <pivotArea type="data" outline="0" fieldPosition="0">
        <references count="2">
          <reference field="4294967294" count="1" selected="0">
            <x v="0"/>
          </reference>
          <reference field="0" count="1" selected="0">
            <x v="3"/>
          </reference>
        </references>
      </pivotArea>
    </chartFormat>
    <chartFormat chart="16"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B7401BA-5207-4E57-AF0E-8505FAA2675E}" sourceName="Month">
  <pivotTables>
    <pivotTable tabId="3" name="PivotTable1"/>
    <pivotTable tabId="4" name="PivotTable2"/>
  </pivotTables>
  <data>
    <tabular pivotCacheId="1747060450">
      <items count="6">
        <i x="0" s="1"/>
        <i x="5"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70917A99-0462-4222-91B1-E53003868010}" sourceName="Destination">
  <pivotTables>
    <pivotTable tabId="3" name="PivotTable1"/>
    <pivotTable tabId="4" name="PivotTable2"/>
  </pivotTables>
  <data>
    <tabular pivotCacheId="1747060450">
      <items count="8">
        <i x="5" s="1"/>
        <i x="1" s="1"/>
        <i x="7" s="1"/>
        <i x="0" s="1"/>
        <i x="6"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0F59D4-494A-4D03-AE5B-3BE6CB3B7CCF}" sourceName="Category ">
  <pivotTables>
    <pivotTable tabId="5" name="PivotTable1"/>
  </pivotTables>
  <data>
    <tabular pivotCacheId="458405548">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4F362C8-AF66-4765-8461-A5AE1CB8377A}" cache="Slicer_Month" caption="Month" columnCount="3" style="SlicerStyleOther2" rowHeight="144000"/>
  <slicer name="Destination 1" xr10:uid="{785B7977-912D-433D-9531-B3230BB189EB}" cache="Slicer_Destination" caption="Destination" columnCount="4" style="SlicerStyleOther2" rowHeight="144000"/>
  <slicer name="Category  1" xr10:uid="{7C05012E-6D27-487C-BB93-70E8B815CC9A}" cache="Slicer_Category" caption="Category " columnCount="3"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29C4271-B8F7-4604-8793-7864402EA0AE}" cache="Slicer_Month" caption="Month" columnCount="3" style="SlicerStyleLight2" rowHeight="234950"/>
  <slicer name="Destination" xr10:uid="{8BFC1FCB-0E22-433F-B726-97B261CF2720}" cache="Slicer_Destination" caption="Destin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1552E1B5-1F43-4536-B9D5-741CD6FD0A13}" cache="Slicer_Category" caption="Category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ACE64A-D3AC-419D-9476-A052A9CB3C6C}" name="Table2" displayName="Table2" ref="A2:B7" totalsRowShown="0" headerRowDxfId="17" dataDxfId="16">
  <autoFilter ref="A2:B7" xr:uid="{75ACE64A-D3AC-419D-9476-A052A9CB3C6C}"/>
  <tableColumns count="2">
    <tableColumn id="1" xr3:uid="{17BE03C8-2CD5-41CA-8D40-26C9CE2199C7}" name="Category " dataDxfId="15"/>
    <tableColumn id="2" xr3:uid="{3ED4CB6F-11F0-409A-BD64-5FCCC21E4FAB}" name="Total Expense" dataDxf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149FE3-7668-4D54-9B07-7216290BEE4A}" name="Table1" displayName="Table1" ref="A1:I26" totalsRowShown="0" headerRowDxfId="13" dataDxfId="11" headerRowBorderDxfId="12" tableBorderDxfId="10" totalsRowBorderDxfId="9">
  <autoFilter ref="A1:I26" xr:uid="{A6149FE3-7668-4D54-9B07-7216290BEE4A}"/>
  <tableColumns count="9">
    <tableColumn id="1" xr3:uid="{F2D79D52-DF33-4722-BFDE-D781B01112CC}" name="Trip_ID" dataDxfId="8"/>
    <tableColumn id="2" xr3:uid="{E957658C-03BB-4B29-A351-97BF1D810988}" name="Destination" dataDxfId="7"/>
    <tableColumn id="3" xr3:uid="{55D92788-B50E-4EFB-977A-31546FA9B60E}" name="Month" dataDxfId="6"/>
    <tableColumn id="4" xr3:uid="{F6935437-A136-4FB5-A3AC-027D437C1639}" name="Transport" dataDxfId="5"/>
    <tableColumn id="5" xr3:uid="{AA36B922-BE9C-451C-9D44-F13EF2F94AFC}" name="Hotel" dataDxfId="4"/>
    <tableColumn id="6" xr3:uid="{FE746FE9-AE1C-40FB-8AAB-C02EBB4D658D}" name="Food" dataDxfId="3"/>
    <tableColumn id="7" xr3:uid="{6264268E-13FC-4FC2-BFA6-578CA91A8BBB}" name="Shopping" dataDxfId="2"/>
    <tableColumn id="8" xr3:uid="{6E94D7FB-B6C8-4D5F-9B09-20BED6E8FE30}" name="Other" dataDxfId="1"/>
    <tableColumn id="9" xr3:uid="{B1FC1905-F2C0-4249-AC6F-DDC8EF1782E9}" name="Total_Expense" dataDxfId="0">
      <calculatedColumnFormula>SUM(D2:H2)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38F0-93E1-471A-B8C1-DFA97F8AC6FD}">
  <dimension ref="A1:P71"/>
  <sheetViews>
    <sheetView topLeftCell="A16" zoomScale="83" workbookViewId="0">
      <selection activeCell="A3" sqref="A3:P6"/>
    </sheetView>
  </sheetViews>
  <sheetFormatPr defaultRowHeight="14.4" x14ac:dyDescent="0.3"/>
  <sheetData>
    <row r="1" spans="1:16" x14ac:dyDescent="0.3">
      <c r="A1" s="17" t="s">
        <v>56</v>
      </c>
      <c r="B1" s="18"/>
      <c r="C1" s="18"/>
      <c r="D1" s="18"/>
      <c r="E1" s="18"/>
      <c r="F1" s="18"/>
      <c r="G1" s="18"/>
      <c r="H1" s="18"/>
      <c r="I1" s="18"/>
      <c r="J1" s="18"/>
      <c r="K1" s="18"/>
      <c r="L1" s="18"/>
      <c r="M1" s="18"/>
      <c r="N1" s="18"/>
      <c r="O1" s="18"/>
      <c r="P1" s="18"/>
    </row>
    <row r="2" spans="1:16" x14ac:dyDescent="0.3">
      <c r="A2" s="18"/>
      <c r="B2" s="18"/>
      <c r="C2" s="18"/>
      <c r="D2" s="18"/>
      <c r="E2" s="18"/>
      <c r="F2" s="18"/>
      <c r="G2" s="18"/>
      <c r="H2" s="18"/>
      <c r="I2" s="18"/>
      <c r="J2" s="18"/>
      <c r="K2" s="18"/>
      <c r="L2" s="18"/>
      <c r="M2" s="18"/>
      <c r="N2" s="18"/>
      <c r="O2" s="18"/>
      <c r="P2" s="18"/>
    </row>
    <row r="3" spans="1:16" x14ac:dyDescent="0.3">
      <c r="A3" s="15"/>
      <c r="B3" s="15"/>
      <c r="C3" s="15"/>
      <c r="D3" s="15"/>
      <c r="E3" s="15"/>
      <c r="F3" s="15"/>
      <c r="G3" s="15"/>
      <c r="H3" s="15"/>
      <c r="I3" s="15"/>
      <c r="J3" s="15"/>
      <c r="K3" s="15"/>
      <c r="L3" s="15"/>
      <c r="M3" s="15"/>
      <c r="N3" s="15"/>
      <c r="O3" s="15"/>
      <c r="P3" s="15"/>
    </row>
    <row r="4" spans="1:16" x14ac:dyDescent="0.3">
      <c r="A4" s="15"/>
      <c r="B4" s="15"/>
      <c r="C4" s="15"/>
      <c r="D4" s="15"/>
      <c r="E4" s="15"/>
      <c r="F4" s="15"/>
      <c r="G4" s="15"/>
      <c r="H4" s="15"/>
      <c r="I4" s="15"/>
      <c r="J4" s="15"/>
      <c r="K4" s="15"/>
      <c r="L4" s="15"/>
      <c r="M4" s="15"/>
      <c r="N4" s="15"/>
      <c r="O4" s="15"/>
      <c r="P4" s="15"/>
    </row>
    <row r="5" spans="1:16" x14ac:dyDescent="0.3">
      <c r="A5" s="15"/>
      <c r="B5" s="15"/>
      <c r="C5" s="15"/>
      <c r="D5" s="15"/>
      <c r="E5" s="15"/>
      <c r="F5" s="15"/>
      <c r="G5" s="15"/>
      <c r="H5" s="15"/>
      <c r="I5" s="15"/>
      <c r="J5" s="15"/>
      <c r="K5" s="15"/>
      <c r="L5" s="15"/>
      <c r="M5" s="15"/>
      <c r="N5" s="15"/>
      <c r="O5" s="15"/>
      <c r="P5" s="15"/>
    </row>
    <row r="6" spans="1:16" x14ac:dyDescent="0.3">
      <c r="A6" s="15"/>
      <c r="B6" s="15"/>
      <c r="C6" s="15"/>
      <c r="D6" s="15"/>
      <c r="E6" s="15"/>
      <c r="F6" s="15"/>
      <c r="G6" s="15"/>
      <c r="H6" s="15"/>
      <c r="I6" s="15"/>
      <c r="J6" s="15"/>
      <c r="K6" s="15"/>
      <c r="L6" s="15"/>
      <c r="M6" s="15"/>
      <c r="N6" s="15"/>
      <c r="O6" s="15"/>
      <c r="P6" s="15"/>
    </row>
    <row r="7" spans="1:16" x14ac:dyDescent="0.3">
      <c r="A7" s="16" t="s">
        <v>57</v>
      </c>
      <c r="B7" s="16"/>
      <c r="C7" s="16"/>
      <c r="D7" s="16"/>
      <c r="E7" s="16" t="s">
        <v>58</v>
      </c>
      <c r="F7" s="16"/>
      <c r="G7" s="16"/>
      <c r="H7" s="16"/>
      <c r="I7" s="16" t="s">
        <v>59</v>
      </c>
      <c r="J7" s="16"/>
      <c r="K7" s="16"/>
      <c r="L7" s="16"/>
      <c r="M7" s="16" t="s">
        <v>60</v>
      </c>
      <c r="N7" s="16"/>
      <c r="O7" s="16"/>
      <c r="P7" s="16"/>
    </row>
    <row r="8" spans="1:16" x14ac:dyDescent="0.3">
      <c r="A8" s="16"/>
      <c r="B8" s="16"/>
      <c r="C8" s="16"/>
      <c r="D8" s="16"/>
      <c r="E8" s="16"/>
      <c r="F8" s="16"/>
      <c r="G8" s="16"/>
      <c r="H8" s="16"/>
      <c r="I8" s="16"/>
      <c r="J8" s="16"/>
      <c r="K8" s="16"/>
      <c r="L8" s="16"/>
      <c r="M8" s="16"/>
      <c r="N8" s="16"/>
      <c r="O8" s="16"/>
      <c r="P8" s="16"/>
    </row>
    <row r="9" spans="1:16" x14ac:dyDescent="0.3">
      <c r="A9" s="19">
        <f>COUNTA(Travel_Expense_Data!A2:A26)</f>
        <v>25</v>
      </c>
      <c r="B9" s="19"/>
      <c r="C9" s="19"/>
      <c r="D9" s="19"/>
      <c r="E9" s="19">
        <f>SUM(Travel_Expense_Data!I2:I26)</f>
        <v>465866</v>
      </c>
      <c r="F9" s="19"/>
      <c r="G9" s="19"/>
      <c r="H9" s="19"/>
      <c r="I9" s="19">
        <f>AVERAGE(Travel_Expense_Data!I2:I26)</f>
        <v>18634.64</v>
      </c>
      <c r="J9" s="19"/>
      <c r="K9" s="19"/>
      <c r="L9" s="19"/>
      <c r="M9" s="19">
        <f>MAX(Travel_Expense_Data!I2:I26)</f>
        <v>24510</v>
      </c>
      <c r="N9" s="19"/>
      <c r="O9" s="19"/>
      <c r="P9" s="19"/>
    </row>
    <row r="10" spans="1:16" x14ac:dyDescent="0.3">
      <c r="A10" s="19"/>
      <c r="B10" s="19"/>
      <c r="C10" s="19"/>
      <c r="D10" s="19"/>
      <c r="E10" s="19"/>
      <c r="F10" s="19"/>
      <c r="G10" s="19"/>
      <c r="H10" s="19"/>
      <c r="I10" s="19"/>
      <c r="J10" s="19"/>
      <c r="K10" s="19"/>
      <c r="L10" s="19"/>
      <c r="M10" s="19"/>
      <c r="N10" s="19"/>
      <c r="O10" s="19"/>
      <c r="P10" s="19"/>
    </row>
    <row r="11" spans="1:16" x14ac:dyDescent="0.3">
      <c r="A11" s="14"/>
      <c r="B11" s="14"/>
      <c r="C11" s="14"/>
      <c r="D11" s="14"/>
      <c r="E11" s="14"/>
      <c r="F11" s="14"/>
      <c r="G11" s="14"/>
      <c r="H11" s="14"/>
      <c r="I11" s="14"/>
      <c r="J11" s="14"/>
      <c r="K11" s="14"/>
      <c r="L11" s="14"/>
      <c r="M11" s="14"/>
      <c r="N11" s="14"/>
      <c r="O11" s="14"/>
      <c r="P11" s="14"/>
    </row>
    <row r="12" spans="1:16" x14ac:dyDescent="0.3">
      <c r="A12" s="15"/>
      <c r="B12" s="15"/>
      <c r="C12" s="15"/>
      <c r="D12" s="15"/>
      <c r="E12" s="15"/>
      <c r="F12" s="15"/>
      <c r="G12" s="15"/>
      <c r="H12" s="15"/>
      <c r="I12" s="15"/>
      <c r="J12" s="15"/>
      <c r="K12" s="15"/>
      <c r="L12" s="15"/>
      <c r="M12" s="15"/>
      <c r="N12" s="15"/>
      <c r="O12" s="15"/>
      <c r="P12" s="15"/>
    </row>
    <row r="13" spans="1:16" x14ac:dyDescent="0.3">
      <c r="A13" s="15"/>
      <c r="B13" s="15"/>
      <c r="C13" s="15"/>
      <c r="D13" s="15"/>
      <c r="E13" s="15"/>
      <c r="F13" s="15"/>
      <c r="G13" s="15"/>
      <c r="H13" s="15"/>
      <c r="I13" s="15"/>
      <c r="J13" s="15"/>
      <c r="K13" s="15"/>
      <c r="L13" s="15"/>
      <c r="M13" s="15"/>
      <c r="N13" s="15"/>
      <c r="O13" s="15"/>
      <c r="P13" s="15"/>
    </row>
    <row r="14" spans="1:16" x14ac:dyDescent="0.3">
      <c r="A14" s="15"/>
      <c r="B14" s="15"/>
      <c r="C14" s="15"/>
      <c r="D14" s="15"/>
      <c r="E14" s="15"/>
      <c r="F14" s="15"/>
      <c r="G14" s="15"/>
      <c r="H14" s="15"/>
      <c r="I14" s="15"/>
      <c r="J14" s="15"/>
      <c r="K14" s="15"/>
      <c r="L14" s="15"/>
      <c r="M14" s="15"/>
      <c r="N14" s="15"/>
      <c r="O14" s="15"/>
      <c r="P14" s="15"/>
    </row>
    <row r="15" spans="1:16" x14ac:dyDescent="0.3">
      <c r="A15" s="15"/>
      <c r="B15" s="15"/>
      <c r="C15" s="15"/>
      <c r="D15" s="15"/>
      <c r="E15" s="15"/>
      <c r="F15" s="15"/>
      <c r="G15" s="15"/>
      <c r="H15" s="15"/>
      <c r="I15" s="15"/>
      <c r="J15" s="15"/>
      <c r="K15" s="15"/>
      <c r="L15" s="15"/>
      <c r="M15" s="15"/>
      <c r="N15" s="15"/>
      <c r="O15" s="15"/>
      <c r="P15" s="15"/>
    </row>
    <row r="16" spans="1:16" x14ac:dyDescent="0.3">
      <c r="A16" s="15"/>
      <c r="B16" s="15"/>
      <c r="C16" s="15"/>
      <c r="D16" s="15"/>
      <c r="E16" s="15"/>
      <c r="F16" s="15"/>
      <c r="G16" s="15"/>
      <c r="H16" s="15"/>
      <c r="I16" s="15"/>
      <c r="J16" s="15"/>
      <c r="K16" s="15"/>
      <c r="L16" s="15"/>
      <c r="M16" s="15"/>
      <c r="N16" s="15"/>
      <c r="O16" s="15"/>
      <c r="P16" s="15"/>
    </row>
    <row r="17" spans="1:16" x14ac:dyDescent="0.3">
      <c r="A17" s="15"/>
      <c r="B17" s="15"/>
      <c r="C17" s="15"/>
      <c r="D17" s="15"/>
      <c r="E17" s="15"/>
      <c r="F17" s="15"/>
      <c r="G17" s="15"/>
      <c r="H17" s="15"/>
      <c r="I17" s="15"/>
      <c r="J17" s="15"/>
      <c r="K17" s="15"/>
      <c r="L17" s="15"/>
      <c r="M17" s="15"/>
      <c r="N17" s="15"/>
      <c r="O17" s="15"/>
      <c r="P17" s="15"/>
    </row>
    <row r="18" spans="1:16" x14ac:dyDescent="0.3">
      <c r="A18" s="15"/>
      <c r="B18" s="15"/>
      <c r="C18" s="15"/>
      <c r="D18" s="15"/>
      <c r="E18" s="15"/>
      <c r="F18" s="15"/>
      <c r="G18" s="15"/>
      <c r="H18" s="15"/>
      <c r="I18" s="15"/>
      <c r="J18" s="15"/>
      <c r="K18" s="15"/>
      <c r="L18" s="15"/>
      <c r="M18" s="15"/>
      <c r="N18" s="15"/>
      <c r="O18" s="15"/>
      <c r="P18" s="15"/>
    </row>
    <row r="19" spans="1:16" x14ac:dyDescent="0.3">
      <c r="A19" s="15"/>
      <c r="B19" s="15"/>
      <c r="C19" s="15"/>
      <c r="D19" s="15"/>
      <c r="E19" s="15"/>
      <c r="F19" s="15"/>
      <c r="G19" s="15"/>
      <c r="H19" s="15"/>
      <c r="I19" s="15"/>
      <c r="J19" s="15"/>
      <c r="K19" s="15"/>
      <c r="L19" s="15"/>
      <c r="M19" s="15"/>
      <c r="N19" s="15"/>
      <c r="O19" s="15"/>
      <c r="P19" s="15"/>
    </row>
    <row r="20" spans="1:16" x14ac:dyDescent="0.3">
      <c r="A20" s="15"/>
      <c r="B20" s="15"/>
      <c r="C20" s="15"/>
      <c r="D20" s="15"/>
      <c r="E20" s="15"/>
      <c r="F20" s="15"/>
      <c r="G20" s="15"/>
      <c r="H20" s="15"/>
      <c r="I20" s="15"/>
      <c r="J20" s="15"/>
      <c r="K20" s="15"/>
      <c r="L20" s="15"/>
      <c r="M20" s="15"/>
      <c r="N20" s="15"/>
      <c r="O20" s="15"/>
      <c r="P20" s="15"/>
    </row>
    <row r="21" spans="1:16" x14ac:dyDescent="0.3">
      <c r="A21" s="15"/>
      <c r="B21" s="15"/>
      <c r="C21" s="15"/>
      <c r="D21" s="15"/>
      <c r="E21" s="15"/>
      <c r="F21" s="15"/>
      <c r="G21" s="15"/>
      <c r="H21" s="15"/>
      <c r="I21" s="15"/>
      <c r="J21" s="15"/>
      <c r="K21" s="15"/>
      <c r="L21" s="15"/>
      <c r="M21" s="15"/>
      <c r="N21" s="15"/>
      <c r="O21" s="15"/>
      <c r="P21" s="15"/>
    </row>
    <row r="22" spans="1:16" x14ac:dyDescent="0.3">
      <c r="A22" s="15"/>
      <c r="B22" s="15"/>
      <c r="C22" s="15"/>
      <c r="D22" s="15"/>
      <c r="E22" s="15"/>
      <c r="F22" s="15"/>
      <c r="G22" s="15"/>
      <c r="H22" s="15"/>
      <c r="I22" s="15"/>
      <c r="J22" s="15"/>
      <c r="K22" s="15"/>
      <c r="L22" s="15"/>
      <c r="M22" s="15"/>
      <c r="N22" s="15"/>
      <c r="O22" s="15"/>
      <c r="P22" s="15"/>
    </row>
    <row r="23" spans="1:16" x14ac:dyDescent="0.3">
      <c r="A23" s="15"/>
      <c r="B23" s="15"/>
      <c r="C23" s="15"/>
      <c r="D23" s="15"/>
      <c r="E23" s="15"/>
      <c r="F23" s="15"/>
      <c r="G23" s="15"/>
      <c r="H23" s="15"/>
      <c r="I23" s="15"/>
      <c r="J23" s="15"/>
      <c r="K23" s="15"/>
      <c r="L23" s="15"/>
      <c r="M23" s="15"/>
      <c r="N23" s="15"/>
      <c r="O23" s="15"/>
      <c r="P23" s="15"/>
    </row>
    <row r="24" spans="1:16" x14ac:dyDescent="0.3">
      <c r="A24" s="15"/>
      <c r="B24" s="15"/>
      <c r="C24" s="15"/>
      <c r="D24" s="15"/>
      <c r="E24" s="15"/>
      <c r="F24" s="15"/>
      <c r="G24" s="15"/>
      <c r="H24" s="15"/>
      <c r="I24" s="15"/>
      <c r="J24" s="15"/>
      <c r="K24" s="15"/>
      <c r="L24" s="15"/>
      <c r="M24" s="15"/>
      <c r="N24" s="15"/>
      <c r="O24" s="15"/>
      <c r="P24" s="15"/>
    </row>
    <row r="25" spans="1:16" x14ac:dyDescent="0.3">
      <c r="A25" s="15"/>
      <c r="B25" s="15"/>
      <c r="C25" s="15"/>
      <c r="D25" s="15"/>
      <c r="E25" s="15"/>
      <c r="F25" s="15"/>
      <c r="G25" s="15"/>
      <c r="H25" s="15"/>
      <c r="I25" s="15"/>
      <c r="J25" s="15"/>
      <c r="K25" s="15"/>
      <c r="L25" s="15"/>
      <c r="M25" s="15"/>
      <c r="N25" s="15"/>
      <c r="O25" s="15"/>
      <c r="P25" s="15"/>
    </row>
    <row r="26" spans="1:16" x14ac:dyDescent="0.3">
      <c r="A26" s="15"/>
      <c r="B26" s="15"/>
      <c r="C26" s="15"/>
      <c r="D26" s="15"/>
      <c r="E26" s="15"/>
      <c r="F26" s="15"/>
      <c r="G26" s="15"/>
      <c r="H26" s="15"/>
      <c r="I26" s="15"/>
      <c r="J26" s="15"/>
      <c r="K26" s="15"/>
      <c r="L26" s="15"/>
      <c r="M26" s="15"/>
      <c r="N26" s="15"/>
      <c r="O26" s="15"/>
      <c r="P26" s="15"/>
    </row>
    <row r="27" spans="1:16" x14ac:dyDescent="0.3">
      <c r="A27" s="15"/>
      <c r="B27" s="15"/>
      <c r="C27" s="15"/>
      <c r="D27" s="15"/>
      <c r="E27" s="15"/>
      <c r="F27" s="15"/>
      <c r="G27" s="15"/>
      <c r="H27" s="15"/>
      <c r="I27" s="15"/>
      <c r="J27" s="15"/>
      <c r="K27" s="15"/>
      <c r="L27" s="15"/>
      <c r="M27" s="15"/>
      <c r="N27" s="15"/>
      <c r="O27" s="15"/>
      <c r="P27" s="15"/>
    </row>
    <row r="28" spans="1:16" x14ac:dyDescent="0.3">
      <c r="A28" s="15"/>
      <c r="B28" s="15"/>
      <c r="C28" s="15"/>
      <c r="D28" s="15"/>
      <c r="E28" s="15"/>
      <c r="F28" s="15"/>
      <c r="G28" s="15"/>
      <c r="H28" s="15"/>
      <c r="I28" s="15"/>
      <c r="J28" s="15"/>
      <c r="K28" s="15"/>
      <c r="L28" s="15"/>
      <c r="M28" s="15"/>
      <c r="N28" s="15"/>
      <c r="O28" s="15"/>
      <c r="P28" s="15"/>
    </row>
    <row r="29" spans="1:16" x14ac:dyDescent="0.3">
      <c r="A29" s="15"/>
      <c r="B29" s="15"/>
      <c r="C29" s="15"/>
      <c r="D29" s="15"/>
      <c r="E29" s="15"/>
      <c r="F29" s="15"/>
      <c r="G29" s="15"/>
      <c r="H29" s="15"/>
      <c r="I29" s="15"/>
      <c r="J29" s="15"/>
      <c r="K29" s="15"/>
      <c r="L29" s="15"/>
      <c r="M29" s="15"/>
      <c r="N29" s="15"/>
      <c r="O29" s="15"/>
      <c r="P29" s="15"/>
    </row>
    <row r="30" spans="1:16" x14ac:dyDescent="0.3">
      <c r="A30" s="15"/>
      <c r="B30" s="15"/>
      <c r="C30" s="15"/>
      <c r="D30" s="15"/>
      <c r="E30" s="15"/>
      <c r="F30" s="15"/>
      <c r="G30" s="15"/>
      <c r="H30" s="15"/>
      <c r="I30" s="15"/>
      <c r="J30" s="15"/>
      <c r="K30" s="15"/>
      <c r="L30" s="15"/>
      <c r="M30" s="15"/>
      <c r="N30" s="15"/>
      <c r="O30" s="15"/>
      <c r="P30" s="15"/>
    </row>
    <row r="31" spans="1:16" x14ac:dyDescent="0.3">
      <c r="A31" s="15"/>
      <c r="B31" s="15"/>
      <c r="C31" s="15"/>
      <c r="D31" s="15"/>
      <c r="E31" s="15"/>
      <c r="F31" s="15"/>
      <c r="G31" s="15"/>
      <c r="H31" s="15"/>
      <c r="I31" s="15"/>
      <c r="J31" s="15"/>
      <c r="K31" s="15"/>
      <c r="L31" s="15"/>
      <c r="M31" s="15"/>
      <c r="N31" s="15"/>
      <c r="O31" s="15"/>
      <c r="P31" s="15"/>
    </row>
    <row r="32" spans="1:16" x14ac:dyDescent="0.3">
      <c r="A32" s="15"/>
      <c r="B32" s="15"/>
      <c r="C32" s="15"/>
      <c r="D32" s="15"/>
      <c r="E32" s="15"/>
      <c r="F32" s="15"/>
      <c r="G32" s="15"/>
      <c r="H32" s="15"/>
      <c r="I32" s="15"/>
      <c r="J32" s="15"/>
      <c r="K32" s="15"/>
      <c r="L32" s="15"/>
      <c r="M32" s="15"/>
      <c r="N32" s="15"/>
      <c r="O32" s="15"/>
      <c r="P32" s="15"/>
    </row>
    <row r="33" spans="1:16" x14ac:dyDescent="0.3">
      <c r="A33" s="15"/>
      <c r="B33" s="15"/>
      <c r="C33" s="15"/>
      <c r="D33" s="15"/>
      <c r="E33" s="15"/>
      <c r="F33" s="15"/>
      <c r="G33" s="15"/>
      <c r="H33" s="15"/>
      <c r="I33" s="15"/>
      <c r="J33" s="15"/>
      <c r="K33" s="15"/>
      <c r="L33" s="15"/>
      <c r="M33" s="15"/>
      <c r="N33" s="15"/>
      <c r="O33" s="15"/>
      <c r="P33" s="15"/>
    </row>
    <row r="34" spans="1:16" x14ac:dyDescent="0.3">
      <c r="A34" s="15"/>
      <c r="B34" s="15"/>
      <c r="C34" s="15"/>
      <c r="D34" s="15"/>
      <c r="E34" s="15"/>
      <c r="F34" s="15"/>
      <c r="G34" s="15"/>
      <c r="H34" s="15"/>
      <c r="I34" s="15"/>
      <c r="J34" s="15"/>
      <c r="K34" s="15"/>
      <c r="L34" s="15"/>
      <c r="M34" s="15"/>
      <c r="N34" s="15"/>
      <c r="O34" s="15"/>
      <c r="P34" s="15"/>
    </row>
    <row r="35" spans="1:16" x14ac:dyDescent="0.3">
      <c r="A35" s="15"/>
      <c r="B35" s="15"/>
      <c r="C35" s="15"/>
      <c r="D35" s="15"/>
      <c r="E35" s="15"/>
      <c r="F35" s="15"/>
      <c r="G35" s="15"/>
      <c r="H35" s="15"/>
      <c r="I35" s="15"/>
      <c r="J35" s="15"/>
      <c r="K35" s="15"/>
      <c r="L35" s="15"/>
      <c r="M35" s="15"/>
      <c r="N35" s="15"/>
      <c r="O35" s="15"/>
      <c r="P35" s="15"/>
    </row>
    <row r="36" spans="1:16" x14ac:dyDescent="0.3">
      <c r="A36" s="15"/>
      <c r="B36" s="15"/>
      <c r="C36" s="15"/>
      <c r="D36" s="15"/>
      <c r="E36" s="15"/>
      <c r="F36" s="15"/>
      <c r="G36" s="15"/>
      <c r="H36" s="15"/>
      <c r="I36" s="15"/>
      <c r="J36" s="15"/>
      <c r="K36" s="15"/>
      <c r="L36" s="15"/>
      <c r="M36" s="15"/>
      <c r="N36" s="15"/>
      <c r="O36" s="15"/>
      <c r="P36" s="15"/>
    </row>
    <row r="37" spans="1:16" x14ac:dyDescent="0.3">
      <c r="A37" s="15"/>
      <c r="B37" s="15"/>
      <c r="C37" s="15"/>
      <c r="D37" s="15"/>
      <c r="E37" s="15"/>
      <c r="F37" s="15"/>
      <c r="G37" s="15"/>
      <c r="H37" s="15"/>
      <c r="I37" s="15"/>
      <c r="J37" s="15"/>
      <c r="K37" s="15"/>
      <c r="L37" s="15"/>
      <c r="M37" s="15"/>
      <c r="N37" s="15"/>
      <c r="O37" s="15"/>
      <c r="P37" s="15"/>
    </row>
    <row r="38" spans="1:16" x14ac:dyDescent="0.3">
      <c r="A38" s="15"/>
      <c r="B38" s="15"/>
      <c r="C38" s="15"/>
      <c r="D38" s="15"/>
      <c r="E38" s="15"/>
      <c r="F38" s="15"/>
      <c r="G38" s="15"/>
      <c r="H38" s="15"/>
      <c r="I38" s="15"/>
      <c r="J38" s="15"/>
      <c r="K38" s="15"/>
      <c r="L38" s="15"/>
      <c r="M38" s="15"/>
      <c r="N38" s="15"/>
      <c r="O38" s="15"/>
      <c r="P38" s="15"/>
    </row>
    <row r="39" spans="1:16" x14ac:dyDescent="0.3">
      <c r="A39" s="15"/>
      <c r="B39" s="15"/>
      <c r="C39" s="15"/>
      <c r="D39" s="15"/>
      <c r="E39" s="15"/>
      <c r="F39" s="15"/>
      <c r="G39" s="15"/>
      <c r="H39" s="15"/>
      <c r="I39" s="15"/>
      <c r="J39" s="15"/>
      <c r="K39" s="15"/>
      <c r="L39" s="15"/>
      <c r="M39" s="15"/>
      <c r="N39" s="15"/>
      <c r="O39" s="15"/>
      <c r="P39" s="15"/>
    </row>
    <row r="40" spans="1:16" x14ac:dyDescent="0.3">
      <c r="A40" s="15"/>
      <c r="B40" s="15"/>
      <c r="C40" s="15"/>
      <c r="D40" s="15"/>
      <c r="E40" s="15"/>
      <c r="F40" s="15"/>
      <c r="G40" s="15"/>
      <c r="H40" s="15"/>
      <c r="I40" s="15"/>
      <c r="J40" s="15"/>
      <c r="K40" s="15"/>
      <c r="L40" s="15"/>
      <c r="M40" s="15"/>
      <c r="N40" s="15"/>
      <c r="O40" s="15"/>
      <c r="P40" s="15"/>
    </row>
    <row r="41" spans="1:16" x14ac:dyDescent="0.3">
      <c r="A41" s="15"/>
      <c r="B41" s="15"/>
      <c r="C41" s="15"/>
      <c r="D41" s="15"/>
      <c r="E41" s="15"/>
      <c r="F41" s="15"/>
      <c r="G41" s="15"/>
      <c r="H41" s="15"/>
      <c r="I41" s="15"/>
      <c r="J41" s="15"/>
      <c r="K41" s="15"/>
      <c r="L41" s="15"/>
      <c r="M41" s="15"/>
      <c r="N41" s="15"/>
      <c r="O41" s="15"/>
      <c r="P41" s="15"/>
    </row>
    <row r="42" spans="1:16" x14ac:dyDescent="0.3">
      <c r="A42" s="15"/>
      <c r="B42" s="15"/>
      <c r="C42" s="15"/>
      <c r="D42" s="15"/>
      <c r="E42" s="15"/>
      <c r="F42" s="15"/>
      <c r="G42" s="15"/>
      <c r="H42" s="15"/>
      <c r="I42" s="15"/>
      <c r="J42" s="15"/>
      <c r="K42" s="15"/>
      <c r="L42" s="15"/>
      <c r="M42" s="15"/>
      <c r="N42" s="15"/>
      <c r="O42" s="15"/>
      <c r="P42" s="15"/>
    </row>
    <row r="43" spans="1:16" x14ac:dyDescent="0.3">
      <c r="A43" s="15"/>
      <c r="B43" s="15"/>
      <c r="C43" s="15"/>
      <c r="D43" s="15"/>
      <c r="E43" s="15"/>
      <c r="F43" s="15"/>
      <c r="G43" s="15"/>
      <c r="H43" s="15"/>
      <c r="I43" s="15"/>
      <c r="J43" s="15"/>
      <c r="K43" s="15"/>
      <c r="L43" s="15"/>
      <c r="M43" s="15"/>
      <c r="N43" s="15"/>
      <c r="O43" s="15"/>
      <c r="P43" s="15"/>
    </row>
    <row r="44" spans="1:16" x14ac:dyDescent="0.3">
      <c r="A44" s="15"/>
      <c r="B44" s="15"/>
      <c r="C44" s="15"/>
      <c r="D44" s="15"/>
      <c r="E44" s="15"/>
      <c r="F44" s="15"/>
      <c r="G44" s="15"/>
      <c r="H44" s="15"/>
      <c r="I44" s="15"/>
      <c r="J44" s="15"/>
      <c r="K44" s="15"/>
      <c r="L44" s="15"/>
      <c r="M44" s="15"/>
      <c r="N44" s="15"/>
      <c r="O44" s="15"/>
      <c r="P44" s="15"/>
    </row>
    <row r="45" spans="1:16" x14ac:dyDescent="0.3">
      <c r="A45" s="15"/>
      <c r="B45" s="15"/>
      <c r="C45" s="15"/>
      <c r="D45" s="15"/>
      <c r="E45" s="15"/>
      <c r="F45" s="15"/>
      <c r="G45" s="15"/>
      <c r="H45" s="15"/>
      <c r="I45" s="15"/>
      <c r="J45" s="15"/>
      <c r="K45" s="15"/>
      <c r="L45" s="15"/>
      <c r="M45" s="15"/>
      <c r="N45" s="15"/>
      <c r="O45" s="15"/>
      <c r="P45" s="15"/>
    </row>
    <row r="46" spans="1:16" x14ac:dyDescent="0.3">
      <c r="A46" s="15"/>
      <c r="B46" s="15"/>
      <c r="C46" s="15"/>
      <c r="D46" s="15"/>
      <c r="E46" s="15"/>
      <c r="F46" s="15"/>
      <c r="G46" s="15"/>
      <c r="H46" s="15"/>
      <c r="I46" s="15"/>
      <c r="J46" s="15"/>
      <c r="K46" s="15"/>
      <c r="L46" s="15"/>
      <c r="M46" s="15"/>
      <c r="N46" s="15"/>
      <c r="O46" s="15"/>
      <c r="P46" s="15"/>
    </row>
    <row r="47" spans="1:16" x14ac:dyDescent="0.3">
      <c r="A47" s="15"/>
      <c r="B47" s="15"/>
      <c r="C47" s="15"/>
      <c r="D47" s="15"/>
      <c r="E47" s="15"/>
      <c r="F47" s="15"/>
      <c r="G47" s="15"/>
      <c r="H47" s="15"/>
      <c r="I47" s="15"/>
      <c r="J47" s="15"/>
      <c r="K47" s="15"/>
      <c r="L47" s="15"/>
      <c r="M47" s="15"/>
      <c r="N47" s="15"/>
      <c r="O47" s="15"/>
      <c r="P47" s="15"/>
    </row>
    <row r="48" spans="1:16" x14ac:dyDescent="0.3">
      <c r="A48" s="15"/>
      <c r="B48" s="15"/>
      <c r="C48" s="15"/>
      <c r="D48" s="15"/>
      <c r="E48" s="15"/>
      <c r="F48" s="15"/>
      <c r="G48" s="15"/>
      <c r="H48" s="15"/>
      <c r="I48" s="15"/>
      <c r="J48" s="15"/>
      <c r="K48" s="15"/>
      <c r="L48" s="15"/>
      <c r="M48" s="15"/>
      <c r="N48" s="15"/>
      <c r="O48" s="15"/>
      <c r="P48" s="15"/>
    </row>
    <row r="49" spans="1:16" x14ac:dyDescent="0.3">
      <c r="A49" s="15"/>
      <c r="B49" s="15"/>
      <c r="C49" s="15"/>
      <c r="D49" s="15"/>
      <c r="E49" s="15"/>
      <c r="F49" s="15"/>
      <c r="G49" s="15"/>
      <c r="H49" s="15"/>
      <c r="I49" s="15"/>
      <c r="J49" s="15"/>
      <c r="K49" s="15"/>
      <c r="L49" s="15"/>
      <c r="M49" s="15"/>
      <c r="N49" s="15"/>
      <c r="O49" s="15"/>
      <c r="P49" s="15"/>
    </row>
    <row r="50" spans="1:16" x14ac:dyDescent="0.3">
      <c r="A50" s="15"/>
      <c r="B50" s="15"/>
      <c r="C50" s="15"/>
      <c r="D50" s="15"/>
      <c r="E50" s="15"/>
      <c r="F50" s="15"/>
      <c r="G50" s="15"/>
      <c r="H50" s="15"/>
      <c r="I50" s="15"/>
      <c r="J50" s="15"/>
      <c r="K50" s="15"/>
      <c r="L50" s="15"/>
      <c r="M50" s="15"/>
      <c r="N50" s="15"/>
      <c r="O50" s="15"/>
      <c r="P50" s="15"/>
    </row>
    <row r="51" spans="1:16" x14ac:dyDescent="0.3">
      <c r="A51" s="15"/>
      <c r="B51" s="15"/>
      <c r="C51" s="15"/>
      <c r="D51" s="15"/>
      <c r="E51" s="15"/>
      <c r="F51" s="15"/>
      <c r="G51" s="15"/>
      <c r="H51" s="15"/>
      <c r="I51" s="15"/>
      <c r="J51" s="15"/>
      <c r="K51" s="15"/>
      <c r="L51" s="15"/>
      <c r="M51" s="15"/>
      <c r="N51" s="15"/>
      <c r="O51" s="15"/>
      <c r="P51" s="15"/>
    </row>
    <row r="52" spans="1:16" x14ac:dyDescent="0.3">
      <c r="A52" s="15"/>
      <c r="B52" s="15"/>
      <c r="C52" s="15"/>
      <c r="D52" s="15"/>
      <c r="E52" s="15"/>
      <c r="F52" s="15"/>
      <c r="G52" s="15"/>
      <c r="H52" s="15"/>
      <c r="I52" s="15"/>
      <c r="J52" s="15"/>
      <c r="K52" s="15"/>
      <c r="L52" s="15"/>
      <c r="M52" s="15"/>
      <c r="N52" s="15"/>
      <c r="O52" s="15"/>
      <c r="P52" s="15"/>
    </row>
    <row r="53" spans="1:16" x14ac:dyDescent="0.3">
      <c r="A53" s="15"/>
      <c r="B53" s="15"/>
      <c r="C53" s="15"/>
      <c r="D53" s="15"/>
      <c r="E53" s="15"/>
      <c r="F53" s="15"/>
      <c r="G53" s="15"/>
      <c r="H53" s="15"/>
      <c r="I53" s="15"/>
      <c r="J53" s="15"/>
      <c r="K53" s="15"/>
      <c r="L53" s="15"/>
      <c r="M53" s="15"/>
      <c r="N53" s="15"/>
      <c r="O53" s="15"/>
      <c r="P53" s="15"/>
    </row>
    <row r="54" spans="1:16" x14ac:dyDescent="0.3">
      <c r="A54" s="15"/>
      <c r="B54" s="15"/>
      <c r="C54" s="15"/>
      <c r="D54" s="15"/>
      <c r="E54" s="15"/>
      <c r="F54" s="15"/>
      <c r="G54" s="15"/>
      <c r="H54" s="15"/>
      <c r="I54" s="15"/>
      <c r="J54" s="15"/>
      <c r="K54" s="15"/>
      <c r="L54" s="15"/>
      <c r="M54" s="15"/>
      <c r="N54" s="15"/>
      <c r="O54" s="15"/>
      <c r="P54" s="15"/>
    </row>
    <row r="55" spans="1:16" x14ac:dyDescent="0.3">
      <c r="A55" s="15"/>
      <c r="B55" s="15"/>
      <c r="C55" s="15"/>
      <c r="D55" s="15"/>
      <c r="E55" s="15"/>
      <c r="F55" s="15"/>
      <c r="G55" s="15"/>
      <c r="H55" s="15"/>
      <c r="I55" s="15"/>
      <c r="J55" s="15"/>
      <c r="K55" s="15"/>
      <c r="L55" s="15"/>
      <c r="M55" s="15"/>
      <c r="N55" s="15"/>
      <c r="O55" s="15"/>
      <c r="P55" s="15"/>
    </row>
    <row r="56" spans="1:16" x14ac:dyDescent="0.3">
      <c r="A56" s="15"/>
      <c r="B56" s="15"/>
      <c r="C56" s="15"/>
      <c r="D56" s="15"/>
      <c r="E56" s="15"/>
      <c r="F56" s="15"/>
      <c r="G56" s="15"/>
      <c r="H56" s="15"/>
      <c r="I56" s="15"/>
      <c r="J56" s="15"/>
      <c r="K56" s="15"/>
      <c r="L56" s="15"/>
      <c r="M56" s="15"/>
      <c r="N56" s="15"/>
      <c r="O56" s="15"/>
      <c r="P56" s="15"/>
    </row>
    <row r="57" spans="1:16" x14ac:dyDescent="0.3">
      <c r="A57" s="15"/>
      <c r="B57" s="15"/>
      <c r="C57" s="15"/>
      <c r="D57" s="15"/>
      <c r="E57" s="15"/>
      <c r="F57" s="15"/>
      <c r="G57" s="15"/>
      <c r="H57" s="15"/>
      <c r="I57" s="15"/>
      <c r="J57" s="15"/>
      <c r="K57" s="15"/>
      <c r="L57" s="15"/>
      <c r="M57" s="15"/>
      <c r="N57" s="15"/>
      <c r="O57" s="15"/>
      <c r="P57" s="15"/>
    </row>
    <row r="58" spans="1:16" x14ac:dyDescent="0.3">
      <c r="A58" s="15"/>
      <c r="B58" s="15"/>
      <c r="C58" s="15"/>
      <c r="D58" s="15"/>
      <c r="E58" s="15"/>
      <c r="F58" s="15"/>
      <c r="G58" s="15"/>
      <c r="H58" s="15"/>
      <c r="I58" s="15"/>
      <c r="J58" s="15"/>
      <c r="K58" s="15"/>
      <c r="L58" s="15"/>
      <c r="M58" s="15"/>
      <c r="N58" s="15"/>
      <c r="O58" s="15"/>
      <c r="P58" s="15"/>
    </row>
    <row r="59" spans="1:16" x14ac:dyDescent="0.3">
      <c r="A59" s="15"/>
      <c r="B59" s="15"/>
      <c r="C59" s="15"/>
      <c r="D59" s="15"/>
      <c r="E59" s="15"/>
      <c r="F59" s="15"/>
      <c r="G59" s="15"/>
      <c r="H59" s="15"/>
      <c r="I59" s="15"/>
      <c r="J59" s="15"/>
      <c r="K59" s="15"/>
      <c r="L59" s="15"/>
      <c r="M59" s="15"/>
      <c r="N59" s="15"/>
      <c r="O59" s="15"/>
      <c r="P59" s="15"/>
    </row>
    <row r="60" spans="1:16" x14ac:dyDescent="0.3">
      <c r="A60" s="15"/>
      <c r="B60" s="15"/>
      <c r="C60" s="15"/>
      <c r="D60" s="15"/>
      <c r="E60" s="15"/>
      <c r="F60" s="15"/>
      <c r="G60" s="15"/>
      <c r="H60" s="15"/>
      <c r="I60" s="15"/>
      <c r="J60" s="15"/>
      <c r="K60" s="15"/>
      <c r="L60" s="15"/>
      <c r="M60" s="15"/>
      <c r="N60" s="15"/>
      <c r="O60" s="15"/>
      <c r="P60" s="15"/>
    </row>
    <row r="61" spans="1:16" x14ac:dyDescent="0.3">
      <c r="A61" s="15"/>
      <c r="B61" s="15"/>
      <c r="C61" s="15"/>
      <c r="D61" s="15"/>
      <c r="E61" s="15"/>
      <c r="F61" s="15"/>
      <c r="G61" s="15"/>
      <c r="H61" s="15"/>
      <c r="I61" s="15"/>
      <c r="J61" s="15"/>
      <c r="K61" s="15"/>
      <c r="L61" s="15"/>
      <c r="M61" s="15"/>
      <c r="N61" s="15"/>
      <c r="O61" s="15"/>
      <c r="P61" s="15"/>
    </row>
    <row r="62" spans="1:16" x14ac:dyDescent="0.3">
      <c r="A62" s="15"/>
      <c r="B62" s="15"/>
      <c r="C62" s="15"/>
      <c r="D62" s="15"/>
      <c r="E62" s="15"/>
      <c r="F62" s="15"/>
      <c r="G62" s="15"/>
      <c r="H62" s="15"/>
      <c r="I62" s="15"/>
      <c r="J62" s="15"/>
      <c r="K62" s="15"/>
      <c r="L62" s="15"/>
      <c r="M62" s="15"/>
      <c r="N62" s="15"/>
      <c r="O62" s="15"/>
      <c r="P62" s="15"/>
    </row>
    <row r="63" spans="1:16" x14ac:dyDescent="0.3">
      <c r="A63" s="15"/>
      <c r="B63" s="15"/>
      <c r="C63" s="15"/>
      <c r="D63" s="15"/>
      <c r="E63" s="15"/>
      <c r="F63" s="15"/>
      <c r="G63" s="15"/>
      <c r="H63" s="15"/>
      <c r="I63" s="15"/>
      <c r="J63" s="15"/>
      <c r="K63" s="15"/>
      <c r="L63" s="15"/>
      <c r="M63" s="15"/>
      <c r="N63" s="15"/>
      <c r="O63" s="15"/>
      <c r="P63" s="15"/>
    </row>
    <row r="64" spans="1:16" x14ac:dyDescent="0.3">
      <c r="A64" s="15"/>
      <c r="B64" s="15"/>
      <c r="C64" s="15"/>
      <c r="D64" s="15"/>
      <c r="E64" s="15"/>
      <c r="F64" s="15"/>
      <c r="G64" s="15"/>
      <c r="H64" s="15"/>
      <c r="I64" s="15"/>
      <c r="J64" s="15"/>
      <c r="K64" s="15"/>
      <c r="L64" s="15"/>
      <c r="M64" s="15"/>
      <c r="N64" s="15"/>
      <c r="O64" s="15"/>
      <c r="P64" s="15"/>
    </row>
    <row r="65" spans="1:16" x14ac:dyDescent="0.3">
      <c r="A65" s="15"/>
      <c r="B65" s="15"/>
      <c r="C65" s="15"/>
      <c r="D65" s="15"/>
      <c r="E65" s="15"/>
      <c r="F65" s="15"/>
      <c r="G65" s="15"/>
      <c r="H65" s="15"/>
      <c r="I65" s="15"/>
      <c r="J65" s="15"/>
      <c r="K65" s="15"/>
      <c r="L65" s="15"/>
      <c r="M65" s="15"/>
      <c r="N65" s="15"/>
      <c r="O65" s="15"/>
      <c r="P65" s="15"/>
    </row>
    <row r="66" spans="1:16" x14ac:dyDescent="0.3">
      <c r="A66" s="15"/>
      <c r="B66" s="15"/>
      <c r="C66" s="15"/>
      <c r="D66" s="15"/>
      <c r="E66" s="15"/>
      <c r="F66" s="15"/>
      <c r="G66" s="15"/>
      <c r="H66" s="15"/>
      <c r="I66" s="15"/>
      <c r="J66" s="15"/>
      <c r="K66" s="15"/>
      <c r="L66" s="15"/>
      <c r="M66" s="15"/>
      <c r="N66" s="15"/>
      <c r="O66" s="15"/>
      <c r="P66" s="15"/>
    </row>
    <row r="67" spans="1:16" x14ac:dyDescent="0.3">
      <c r="A67" s="15"/>
      <c r="B67" s="15"/>
      <c r="C67" s="15"/>
      <c r="D67" s="15"/>
      <c r="E67" s="15"/>
      <c r="F67" s="15"/>
      <c r="G67" s="15"/>
      <c r="H67" s="15"/>
      <c r="I67" s="15"/>
      <c r="J67" s="15"/>
      <c r="K67" s="15"/>
      <c r="L67" s="15"/>
      <c r="M67" s="15"/>
      <c r="N67" s="15"/>
      <c r="O67" s="15"/>
      <c r="P67" s="15"/>
    </row>
    <row r="68" spans="1:16" x14ac:dyDescent="0.3">
      <c r="A68" s="15"/>
      <c r="B68" s="15"/>
      <c r="C68" s="15"/>
      <c r="D68" s="15"/>
      <c r="E68" s="15"/>
      <c r="F68" s="15"/>
      <c r="G68" s="15"/>
      <c r="H68" s="15"/>
      <c r="I68" s="15"/>
      <c r="J68" s="15"/>
      <c r="K68" s="15"/>
      <c r="L68" s="15"/>
      <c r="M68" s="15"/>
      <c r="N68" s="15"/>
      <c r="O68" s="15"/>
      <c r="P68" s="15"/>
    </row>
    <row r="69" spans="1:16" x14ac:dyDescent="0.3">
      <c r="A69" s="15"/>
      <c r="B69" s="15"/>
      <c r="C69" s="15"/>
      <c r="D69" s="15"/>
      <c r="E69" s="15"/>
      <c r="F69" s="15"/>
      <c r="G69" s="15"/>
      <c r="H69" s="15"/>
      <c r="I69" s="15"/>
      <c r="J69" s="15"/>
      <c r="K69" s="15"/>
      <c r="L69" s="15"/>
      <c r="M69" s="15"/>
      <c r="N69" s="15"/>
      <c r="O69" s="15"/>
      <c r="P69" s="15"/>
    </row>
    <row r="70" spans="1:16" x14ac:dyDescent="0.3">
      <c r="A70" s="15"/>
      <c r="B70" s="15"/>
      <c r="C70" s="15"/>
      <c r="D70" s="15"/>
      <c r="E70" s="15"/>
      <c r="F70" s="15"/>
      <c r="G70" s="15"/>
      <c r="H70" s="15"/>
      <c r="I70" s="15"/>
      <c r="J70" s="15"/>
      <c r="K70" s="15"/>
      <c r="L70" s="15"/>
      <c r="M70" s="15"/>
      <c r="N70" s="15"/>
      <c r="O70" s="15"/>
      <c r="P70" s="15"/>
    </row>
    <row r="71" spans="1:16" x14ac:dyDescent="0.3">
      <c r="A71" s="15"/>
      <c r="B71" s="15"/>
      <c r="C71" s="15"/>
      <c r="D71" s="15"/>
      <c r="E71" s="15"/>
      <c r="F71" s="15"/>
      <c r="G71" s="15"/>
      <c r="H71" s="15"/>
      <c r="I71" s="15"/>
      <c r="J71" s="15"/>
      <c r="K71" s="15"/>
      <c r="L71" s="15"/>
      <c r="M71" s="15"/>
      <c r="N71" s="15"/>
      <c r="O71" s="15"/>
      <c r="P71" s="15"/>
    </row>
  </sheetData>
  <mergeCells count="11">
    <mergeCell ref="A3:P6"/>
    <mergeCell ref="A7:D8"/>
    <mergeCell ref="A9:D10"/>
    <mergeCell ref="E7:H8"/>
    <mergeCell ref="A1:P2"/>
    <mergeCell ref="A11:P71"/>
    <mergeCell ref="I7:L8"/>
    <mergeCell ref="M7:P8"/>
    <mergeCell ref="E9:H10"/>
    <mergeCell ref="I9:L10"/>
    <mergeCell ref="M9:P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8107-85A8-4AD3-8345-18BFC9A0417A}">
  <dimension ref="A3:B12"/>
  <sheetViews>
    <sheetView workbookViewId="0">
      <selection activeCell="B9" sqref="B9"/>
    </sheetView>
  </sheetViews>
  <sheetFormatPr defaultRowHeight="14.4" x14ac:dyDescent="0.3"/>
  <cols>
    <col min="1" max="1" width="12.5546875" bestFit="1" customWidth="1"/>
    <col min="2" max="2" width="19.77734375" bestFit="1" customWidth="1"/>
  </cols>
  <sheetData>
    <row r="3" spans="1:2" x14ac:dyDescent="0.3">
      <c r="A3" s="10" t="s">
        <v>48</v>
      </c>
      <c r="B3" t="s">
        <v>50</v>
      </c>
    </row>
    <row r="4" spans="1:2" x14ac:dyDescent="0.3">
      <c r="A4" s="11" t="s">
        <v>24</v>
      </c>
      <c r="B4" s="20">
        <v>64172</v>
      </c>
    </row>
    <row r="5" spans="1:2" x14ac:dyDescent="0.3">
      <c r="A5" s="11" t="s">
        <v>13</v>
      </c>
      <c r="B5" s="20">
        <v>69418</v>
      </c>
    </row>
    <row r="6" spans="1:2" x14ac:dyDescent="0.3">
      <c r="A6" s="11" t="s">
        <v>31</v>
      </c>
      <c r="B6" s="20">
        <v>33328</v>
      </c>
    </row>
    <row r="7" spans="1:2" x14ac:dyDescent="0.3">
      <c r="A7" s="11" t="s">
        <v>10</v>
      </c>
      <c r="B7" s="20">
        <v>85713</v>
      </c>
    </row>
    <row r="8" spans="1:2" x14ac:dyDescent="0.3">
      <c r="A8" s="11" t="s">
        <v>27</v>
      </c>
      <c r="B8" s="20">
        <v>34561</v>
      </c>
    </row>
    <row r="9" spans="1:2" x14ac:dyDescent="0.3">
      <c r="A9" s="11" t="s">
        <v>16</v>
      </c>
      <c r="B9" s="20">
        <v>59921</v>
      </c>
    </row>
    <row r="10" spans="1:2" x14ac:dyDescent="0.3">
      <c r="A10" s="11" t="s">
        <v>21</v>
      </c>
      <c r="B10" s="20">
        <v>76849</v>
      </c>
    </row>
    <row r="11" spans="1:2" x14ac:dyDescent="0.3">
      <c r="A11" s="11" t="s">
        <v>19</v>
      </c>
      <c r="B11" s="20">
        <v>41904</v>
      </c>
    </row>
    <row r="12" spans="1:2" x14ac:dyDescent="0.3">
      <c r="A12" s="11" t="s">
        <v>49</v>
      </c>
      <c r="B12" s="20">
        <v>465866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5360-2111-439A-996A-7625079BA8F6}">
  <dimension ref="A3:B10"/>
  <sheetViews>
    <sheetView workbookViewId="0">
      <selection activeCell="O6" sqref="O6"/>
    </sheetView>
  </sheetViews>
  <sheetFormatPr defaultRowHeight="14.4" x14ac:dyDescent="0.3"/>
  <cols>
    <col min="1" max="1" width="12.5546875" bestFit="1" customWidth="1"/>
    <col min="2" max="2" width="19.77734375" bestFit="1" customWidth="1"/>
  </cols>
  <sheetData>
    <row r="3" spans="1:2" x14ac:dyDescent="0.3">
      <c r="A3" s="10" t="s">
        <v>48</v>
      </c>
      <c r="B3" t="s">
        <v>50</v>
      </c>
    </row>
    <row r="4" spans="1:2" x14ac:dyDescent="0.3">
      <c r="A4" s="11" t="s">
        <v>11</v>
      </c>
      <c r="B4" s="20">
        <v>99847</v>
      </c>
    </row>
    <row r="5" spans="1:2" x14ac:dyDescent="0.3">
      <c r="A5" s="11" t="s">
        <v>33</v>
      </c>
      <c r="B5" s="20">
        <v>112885</v>
      </c>
    </row>
    <row r="6" spans="1:2" x14ac:dyDescent="0.3">
      <c r="A6" s="11" t="s">
        <v>22</v>
      </c>
      <c r="B6" s="20">
        <v>114322</v>
      </c>
    </row>
    <row r="7" spans="1:2" x14ac:dyDescent="0.3">
      <c r="A7" s="11" t="s">
        <v>28</v>
      </c>
      <c r="B7" s="20">
        <v>65073</v>
      </c>
    </row>
    <row r="8" spans="1:2" x14ac:dyDescent="0.3">
      <c r="A8" s="11" t="s">
        <v>14</v>
      </c>
      <c r="B8" s="20">
        <v>51226</v>
      </c>
    </row>
    <row r="9" spans="1:2" x14ac:dyDescent="0.3">
      <c r="A9" s="11" t="s">
        <v>17</v>
      </c>
      <c r="B9" s="20">
        <v>22513</v>
      </c>
    </row>
    <row r="10" spans="1:2" x14ac:dyDescent="0.3">
      <c r="A10" s="11" t="s">
        <v>49</v>
      </c>
      <c r="B10" s="20">
        <v>465866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95CF4-D4D7-44AA-A56F-A9ABD12E8082}">
  <dimension ref="A2:G9"/>
  <sheetViews>
    <sheetView tabSelected="1" workbookViewId="0">
      <selection activeCell="F3" sqref="F3:G9"/>
    </sheetView>
  </sheetViews>
  <sheetFormatPr defaultRowHeight="14.4" x14ac:dyDescent="0.3"/>
  <cols>
    <col min="1" max="2" width="19.77734375" bestFit="1" customWidth="1"/>
    <col min="3" max="5" width="6" bestFit="1" customWidth="1"/>
    <col min="6" max="6" width="12.5546875" bestFit="1" customWidth="1"/>
    <col min="7" max="7" width="19.21875" bestFit="1" customWidth="1"/>
    <col min="8" max="26" width="6" bestFit="1" customWidth="1"/>
    <col min="27" max="27" width="10.77734375" bestFit="1" customWidth="1"/>
    <col min="28" max="28" width="7" bestFit="1" customWidth="1"/>
    <col min="29" max="29" width="9.6640625" bestFit="1" customWidth="1"/>
    <col min="30" max="30" width="7" bestFit="1" customWidth="1"/>
    <col min="31" max="31" width="9.6640625" bestFit="1" customWidth="1"/>
    <col min="32" max="32" width="7" bestFit="1" customWidth="1"/>
    <col min="33" max="33" width="9.6640625" bestFit="1" customWidth="1"/>
    <col min="34" max="34" width="7" bestFit="1" customWidth="1"/>
    <col min="35" max="35" width="9.6640625" bestFit="1" customWidth="1"/>
    <col min="36" max="36" width="7" bestFit="1" customWidth="1"/>
    <col min="37" max="37" width="9.6640625" bestFit="1" customWidth="1"/>
    <col min="38" max="38" width="7" bestFit="1" customWidth="1"/>
    <col min="39" max="39" width="9.6640625" bestFit="1" customWidth="1"/>
    <col min="40" max="40" width="7" bestFit="1" customWidth="1"/>
    <col min="41" max="41" width="9.6640625" bestFit="1" customWidth="1"/>
    <col min="42" max="42" width="7" bestFit="1" customWidth="1"/>
    <col min="43" max="43" width="9.6640625" bestFit="1" customWidth="1"/>
    <col min="44" max="44" width="7" bestFit="1" customWidth="1"/>
    <col min="45" max="45" width="9.6640625" bestFit="1" customWidth="1"/>
    <col min="46" max="46" width="7" bestFit="1" customWidth="1"/>
    <col min="47" max="47" width="9.6640625" bestFit="1" customWidth="1"/>
    <col min="48" max="48" width="7" bestFit="1" customWidth="1"/>
    <col min="49" max="49" width="9.6640625" bestFit="1" customWidth="1"/>
    <col min="50" max="50" width="7" bestFit="1" customWidth="1"/>
    <col min="51" max="51" width="9.6640625" bestFit="1" customWidth="1"/>
    <col min="52" max="52" width="10.77734375" bestFit="1" customWidth="1"/>
  </cols>
  <sheetData>
    <row r="2" spans="1:7" x14ac:dyDescent="0.3">
      <c r="A2" s="12" t="s">
        <v>51</v>
      </c>
      <c r="B2" s="12" t="s">
        <v>52</v>
      </c>
    </row>
    <row r="3" spans="1:7" x14ac:dyDescent="0.3">
      <c r="A3" s="13" t="s">
        <v>53</v>
      </c>
      <c r="B3" s="13">
        <f>SUM(Travel_Expense_Data!D2:'Travel_Expense_Data'!D26)</f>
        <v>117057</v>
      </c>
      <c r="F3" s="10" t="s">
        <v>48</v>
      </c>
      <c r="G3" t="s">
        <v>55</v>
      </c>
    </row>
    <row r="4" spans="1:7" x14ac:dyDescent="0.3">
      <c r="A4" s="13" t="s">
        <v>4</v>
      </c>
      <c r="B4" s="13">
        <f>SUM(Travel_Expense_Data!E2:'Travel_Expense_Data'!E26)</f>
        <v>180901</v>
      </c>
      <c r="F4" s="11" t="s">
        <v>5</v>
      </c>
      <c r="G4" s="20">
        <v>83315</v>
      </c>
    </row>
    <row r="5" spans="1:7" x14ac:dyDescent="0.3">
      <c r="A5" s="13" t="s">
        <v>5</v>
      </c>
      <c r="B5" s="13">
        <f>SUM(Travel_Expense_Data!F2:'Travel_Expense_Data'!F26)</f>
        <v>83315</v>
      </c>
      <c r="F5" s="11" t="s">
        <v>4</v>
      </c>
      <c r="G5" s="20">
        <v>180901</v>
      </c>
    </row>
    <row r="6" spans="1:7" x14ac:dyDescent="0.3">
      <c r="A6" s="13" t="s">
        <v>54</v>
      </c>
      <c r="B6" s="13">
        <f>SUM(Travel_Expense_Data!G2:'Travel_Expense_Data'!G26)</f>
        <v>54626</v>
      </c>
      <c r="F6" s="11" t="s">
        <v>7</v>
      </c>
      <c r="G6" s="20">
        <v>29967</v>
      </c>
    </row>
    <row r="7" spans="1:7" x14ac:dyDescent="0.3">
      <c r="A7" s="13" t="s">
        <v>7</v>
      </c>
      <c r="B7" s="13">
        <f>SUM(Travel_Expense_Data!H2:'Travel_Expense_Data'!H26)</f>
        <v>29967</v>
      </c>
      <c r="F7" s="11" t="s">
        <v>54</v>
      </c>
      <c r="G7" s="20">
        <v>54626</v>
      </c>
    </row>
    <row r="8" spans="1:7" x14ac:dyDescent="0.3">
      <c r="F8" s="11" t="s">
        <v>53</v>
      </c>
      <c r="G8" s="20">
        <v>117057</v>
      </c>
    </row>
    <row r="9" spans="1:7" x14ac:dyDescent="0.3">
      <c r="F9" s="11" t="s">
        <v>49</v>
      </c>
      <c r="G9" s="20">
        <v>465866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workbookViewId="0">
      <selection activeCell="N7" sqref="N7"/>
    </sheetView>
  </sheetViews>
  <sheetFormatPr defaultRowHeight="14.4" x14ac:dyDescent="0.3"/>
  <cols>
    <col min="1" max="1" width="10" customWidth="1"/>
    <col min="2" max="2" width="15" customWidth="1"/>
    <col min="3" max="3" width="10" customWidth="1"/>
    <col min="4" max="5" width="12" customWidth="1"/>
    <col min="6" max="6" width="10" customWidth="1"/>
    <col min="7" max="7" width="12" customWidth="1"/>
    <col min="8" max="8" width="10" customWidth="1"/>
    <col min="9" max="9" width="15" customWidth="1"/>
    <col min="13" max="13" width="19.77734375" bestFit="1" customWidth="1"/>
    <col min="14" max="14" width="14.88671875" bestFit="1" customWidth="1"/>
  </cols>
  <sheetData>
    <row r="1" spans="1:9" x14ac:dyDescent="0.3">
      <c r="A1" s="4" t="s">
        <v>0</v>
      </c>
      <c r="B1" s="5" t="s">
        <v>1</v>
      </c>
      <c r="C1" s="5" t="s">
        <v>2</v>
      </c>
      <c r="D1" s="5" t="s">
        <v>3</v>
      </c>
      <c r="E1" s="5" t="s">
        <v>4</v>
      </c>
      <c r="F1" s="5" t="s">
        <v>5</v>
      </c>
      <c r="G1" s="5" t="s">
        <v>6</v>
      </c>
      <c r="H1" s="5" t="s">
        <v>7</v>
      </c>
      <c r="I1" s="6" t="s">
        <v>8</v>
      </c>
    </row>
    <row r="2" spans="1:9" x14ac:dyDescent="0.3">
      <c r="A2" s="2" t="s">
        <v>9</v>
      </c>
      <c r="B2" s="1" t="s">
        <v>10</v>
      </c>
      <c r="C2" s="1" t="s">
        <v>11</v>
      </c>
      <c r="D2" s="1">
        <v>3144</v>
      </c>
      <c r="E2" s="1">
        <v>10638</v>
      </c>
      <c r="F2" s="1">
        <v>4754</v>
      </c>
      <c r="G2" s="1">
        <v>3528</v>
      </c>
      <c r="H2" s="1">
        <v>2446</v>
      </c>
      <c r="I2" s="3">
        <f>SUM(D2:H2)</f>
        <v>24510</v>
      </c>
    </row>
    <row r="3" spans="1:9" x14ac:dyDescent="0.3">
      <c r="A3" s="2" t="s">
        <v>12</v>
      </c>
      <c r="B3" s="1" t="s">
        <v>13</v>
      </c>
      <c r="C3" s="1" t="s">
        <v>14</v>
      </c>
      <c r="D3" s="1">
        <v>6137</v>
      </c>
      <c r="E3" s="1">
        <v>4001</v>
      </c>
      <c r="F3" s="1">
        <v>1557</v>
      </c>
      <c r="G3" s="1">
        <v>3392</v>
      </c>
      <c r="H3" s="1">
        <v>2497</v>
      </c>
      <c r="I3" s="3">
        <f t="shared" ref="I3:I26" si="0">SUM(D3:H3)</f>
        <v>17584</v>
      </c>
    </row>
    <row r="4" spans="1:9" x14ac:dyDescent="0.3">
      <c r="A4" s="2" t="s">
        <v>15</v>
      </c>
      <c r="B4" s="1" t="s">
        <v>16</v>
      </c>
      <c r="C4" s="1" t="s">
        <v>17</v>
      </c>
      <c r="D4" s="1">
        <v>6435</v>
      </c>
      <c r="E4" s="1">
        <v>6977</v>
      </c>
      <c r="F4" s="1">
        <v>3390</v>
      </c>
      <c r="G4" s="1">
        <v>3752</v>
      </c>
      <c r="H4" s="1">
        <v>1959</v>
      </c>
      <c r="I4" s="3">
        <f t="shared" si="0"/>
        <v>22513</v>
      </c>
    </row>
    <row r="5" spans="1:9" x14ac:dyDescent="0.3">
      <c r="A5" s="2" t="s">
        <v>18</v>
      </c>
      <c r="B5" s="1" t="s">
        <v>19</v>
      </c>
      <c r="C5" s="1" t="s">
        <v>11</v>
      </c>
      <c r="D5" s="1">
        <v>3011</v>
      </c>
      <c r="E5" s="1">
        <v>10166</v>
      </c>
      <c r="F5" s="1">
        <v>3665</v>
      </c>
      <c r="G5" s="1">
        <v>636</v>
      </c>
      <c r="H5" s="1">
        <v>393</v>
      </c>
      <c r="I5" s="3">
        <f t="shared" si="0"/>
        <v>17871</v>
      </c>
    </row>
    <row r="6" spans="1:9" x14ac:dyDescent="0.3">
      <c r="A6" s="2" t="s">
        <v>20</v>
      </c>
      <c r="B6" s="1" t="s">
        <v>21</v>
      </c>
      <c r="C6" s="1" t="s">
        <v>22</v>
      </c>
      <c r="D6" s="1">
        <v>5049</v>
      </c>
      <c r="E6" s="1">
        <v>11756</v>
      </c>
      <c r="F6" s="1">
        <v>4004</v>
      </c>
      <c r="G6" s="1">
        <v>1187</v>
      </c>
      <c r="H6" s="1">
        <v>1262</v>
      </c>
      <c r="I6" s="3">
        <f t="shared" si="0"/>
        <v>23258</v>
      </c>
    </row>
    <row r="7" spans="1:9" x14ac:dyDescent="0.3">
      <c r="A7" s="2" t="s">
        <v>23</v>
      </c>
      <c r="B7" s="1" t="s">
        <v>24</v>
      </c>
      <c r="C7" s="1" t="s">
        <v>22</v>
      </c>
      <c r="D7" s="1">
        <v>2995</v>
      </c>
      <c r="E7" s="1">
        <v>3596</v>
      </c>
      <c r="F7" s="1">
        <v>2437</v>
      </c>
      <c r="G7" s="1">
        <v>3566</v>
      </c>
      <c r="H7" s="1">
        <v>488</v>
      </c>
      <c r="I7" s="3">
        <f t="shared" si="0"/>
        <v>13082</v>
      </c>
    </row>
    <row r="8" spans="1:9" x14ac:dyDescent="0.3">
      <c r="A8" s="2" t="s">
        <v>25</v>
      </c>
      <c r="B8" s="1" t="s">
        <v>21</v>
      </c>
      <c r="C8" s="1" t="s">
        <v>11</v>
      </c>
      <c r="D8" s="1">
        <v>3188</v>
      </c>
      <c r="E8" s="1">
        <v>7232</v>
      </c>
      <c r="F8" s="1">
        <v>4017</v>
      </c>
      <c r="G8" s="1">
        <v>1245</v>
      </c>
      <c r="H8" s="1">
        <v>342</v>
      </c>
      <c r="I8" s="3">
        <f t="shared" si="0"/>
        <v>16024</v>
      </c>
    </row>
    <row r="9" spans="1:9" x14ac:dyDescent="0.3">
      <c r="A9" s="2" t="s">
        <v>26</v>
      </c>
      <c r="B9" s="1" t="s">
        <v>27</v>
      </c>
      <c r="C9" s="1" t="s">
        <v>28</v>
      </c>
      <c r="D9" s="1">
        <v>6627</v>
      </c>
      <c r="E9" s="1">
        <v>6488</v>
      </c>
      <c r="F9" s="1">
        <v>2480</v>
      </c>
      <c r="G9" s="1">
        <v>757</v>
      </c>
      <c r="H9" s="1">
        <v>922</v>
      </c>
      <c r="I9" s="3">
        <f t="shared" si="0"/>
        <v>17274</v>
      </c>
    </row>
    <row r="10" spans="1:9" x14ac:dyDescent="0.3">
      <c r="A10" s="2" t="s">
        <v>29</v>
      </c>
      <c r="B10" s="1" t="s">
        <v>13</v>
      </c>
      <c r="C10" s="1" t="s">
        <v>28</v>
      </c>
      <c r="D10" s="1">
        <v>3986</v>
      </c>
      <c r="E10" s="1">
        <v>5152</v>
      </c>
      <c r="F10" s="1">
        <v>1935</v>
      </c>
      <c r="G10" s="1">
        <v>1723</v>
      </c>
      <c r="H10" s="1">
        <v>909</v>
      </c>
      <c r="I10" s="3">
        <f t="shared" si="0"/>
        <v>13705</v>
      </c>
    </row>
    <row r="11" spans="1:9" x14ac:dyDescent="0.3">
      <c r="A11" s="2" t="s">
        <v>30</v>
      </c>
      <c r="B11" s="1" t="s">
        <v>31</v>
      </c>
      <c r="C11" s="1" t="s">
        <v>22</v>
      </c>
      <c r="D11" s="1">
        <v>6860</v>
      </c>
      <c r="E11" s="1">
        <v>5310</v>
      </c>
      <c r="F11" s="1">
        <v>1419</v>
      </c>
      <c r="G11" s="1">
        <v>2474</v>
      </c>
      <c r="H11" s="1">
        <v>972</v>
      </c>
      <c r="I11" s="3">
        <f t="shared" si="0"/>
        <v>17035</v>
      </c>
    </row>
    <row r="12" spans="1:9" x14ac:dyDescent="0.3">
      <c r="A12" s="2" t="s">
        <v>32</v>
      </c>
      <c r="B12" s="1" t="s">
        <v>16</v>
      </c>
      <c r="C12" s="1" t="s">
        <v>33</v>
      </c>
      <c r="D12" s="1">
        <v>2838</v>
      </c>
      <c r="E12" s="1">
        <v>3184</v>
      </c>
      <c r="F12" s="1">
        <v>3781</v>
      </c>
      <c r="G12" s="1">
        <v>3424</v>
      </c>
      <c r="H12" s="1">
        <v>679</v>
      </c>
      <c r="I12" s="3">
        <f t="shared" si="0"/>
        <v>13906</v>
      </c>
    </row>
    <row r="13" spans="1:9" x14ac:dyDescent="0.3">
      <c r="A13" s="2" t="s">
        <v>34</v>
      </c>
      <c r="B13" s="1" t="s">
        <v>24</v>
      </c>
      <c r="C13" s="1" t="s">
        <v>33</v>
      </c>
      <c r="D13" s="1">
        <v>5896</v>
      </c>
      <c r="E13" s="1">
        <v>7699</v>
      </c>
      <c r="F13" s="1">
        <v>4216</v>
      </c>
      <c r="G13" s="1">
        <v>2228</v>
      </c>
      <c r="H13" s="1">
        <v>793</v>
      </c>
      <c r="I13" s="3">
        <f t="shared" si="0"/>
        <v>20832</v>
      </c>
    </row>
    <row r="14" spans="1:9" x14ac:dyDescent="0.3">
      <c r="A14" s="2" t="s">
        <v>35</v>
      </c>
      <c r="B14" s="1" t="s">
        <v>10</v>
      </c>
      <c r="C14" s="1" t="s">
        <v>14</v>
      </c>
      <c r="D14" s="1">
        <v>5820</v>
      </c>
      <c r="E14" s="1">
        <v>5541</v>
      </c>
      <c r="F14" s="1">
        <v>4599</v>
      </c>
      <c r="G14" s="1">
        <v>1015</v>
      </c>
      <c r="H14" s="1">
        <v>374</v>
      </c>
      <c r="I14" s="3">
        <f t="shared" si="0"/>
        <v>17349</v>
      </c>
    </row>
    <row r="15" spans="1:9" x14ac:dyDescent="0.3">
      <c r="A15" s="2" t="s">
        <v>36</v>
      </c>
      <c r="B15" s="1" t="s">
        <v>21</v>
      </c>
      <c r="C15" s="1" t="s">
        <v>11</v>
      </c>
      <c r="D15" s="1">
        <v>5472</v>
      </c>
      <c r="E15" s="1">
        <v>7066</v>
      </c>
      <c r="F15" s="1">
        <v>2992</v>
      </c>
      <c r="G15" s="1">
        <v>2025</v>
      </c>
      <c r="H15" s="1">
        <v>385</v>
      </c>
      <c r="I15" s="3">
        <f t="shared" si="0"/>
        <v>17940</v>
      </c>
    </row>
    <row r="16" spans="1:9" x14ac:dyDescent="0.3">
      <c r="A16" s="2" t="s">
        <v>37</v>
      </c>
      <c r="B16" s="1" t="s">
        <v>10</v>
      </c>
      <c r="C16" s="1" t="s">
        <v>33</v>
      </c>
      <c r="D16" s="1">
        <v>3688</v>
      </c>
      <c r="E16" s="1">
        <v>10097</v>
      </c>
      <c r="F16" s="1">
        <v>3508</v>
      </c>
      <c r="G16" s="1">
        <v>3593</v>
      </c>
      <c r="H16" s="1">
        <v>1335</v>
      </c>
      <c r="I16" s="3">
        <f t="shared" si="0"/>
        <v>22221</v>
      </c>
    </row>
    <row r="17" spans="1:9" x14ac:dyDescent="0.3">
      <c r="A17" s="2" t="s">
        <v>38</v>
      </c>
      <c r="B17" s="1" t="s">
        <v>16</v>
      </c>
      <c r="C17" s="1" t="s">
        <v>11</v>
      </c>
      <c r="D17" s="1">
        <v>5171</v>
      </c>
      <c r="E17" s="1">
        <v>10952</v>
      </c>
      <c r="F17" s="1">
        <v>4207</v>
      </c>
      <c r="G17" s="1">
        <v>1322</v>
      </c>
      <c r="H17" s="1">
        <v>1850</v>
      </c>
      <c r="I17" s="3">
        <f t="shared" si="0"/>
        <v>23502</v>
      </c>
    </row>
    <row r="18" spans="1:9" x14ac:dyDescent="0.3">
      <c r="A18" s="2" t="s">
        <v>39</v>
      </c>
      <c r="B18" s="1" t="s">
        <v>21</v>
      </c>
      <c r="C18" s="1" t="s">
        <v>22</v>
      </c>
      <c r="D18" s="1">
        <v>6057</v>
      </c>
      <c r="E18" s="1">
        <v>5112</v>
      </c>
      <c r="F18" s="1">
        <v>4624</v>
      </c>
      <c r="G18" s="1">
        <v>2581</v>
      </c>
      <c r="H18" s="1">
        <v>1253</v>
      </c>
      <c r="I18" s="3">
        <f t="shared" si="0"/>
        <v>19627</v>
      </c>
    </row>
    <row r="19" spans="1:9" x14ac:dyDescent="0.3">
      <c r="A19" s="2" t="s">
        <v>40</v>
      </c>
      <c r="B19" s="1" t="s">
        <v>13</v>
      </c>
      <c r="C19" s="1" t="s">
        <v>28</v>
      </c>
      <c r="D19" s="1">
        <v>3838</v>
      </c>
      <c r="E19" s="1">
        <v>3101</v>
      </c>
      <c r="F19" s="1">
        <v>3129</v>
      </c>
      <c r="G19" s="1">
        <v>3388</v>
      </c>
      <c r="H19" s="1">
        <v>2261</v>
      </c>
      <c r="I19" s="3">
        <f t="shared" si="0"/>
        <v>15717</v>
      </c>
    </row>
    <row r="20" spans="1:9" x14ac:dyDescent="0.3">
      <c r="A20" s="2" t="s">
        <v>41</v>
      </c>
      <c r="B20" s="1" t="s">
        <v>27</v>
      </c>
      <c r="C20" s="1" t="s">
        <v>22</v>
      </c>
      <c r="D20" s="1">
        <v>2985</v>
      </c>
      <c r="E20" s="1">
        <v>9884</v>
      </c>
      <c r="F20" s="1">
        <v>1354</v>
      </c>
      <c r="G20" s="1">
        <v>1533</v>
      </c>
      <c r="H20" s="1">
        <v>1531</v>
      </c>
      <c r="I20" s="3">
        <f t="shared" si="0"/>
        <v>17287</v>
      </c>
    </row>
    <row r="21" spans="1:9" x14ac:dyDescent="0.3">
      <c r="A21" s="2" t="s">
        <v>42</v>
      </c>
      <c r="B21" s="1" t="s">
        <v>19</v>
      </c>
      <c r="C21" s="1" t="s">
        <v>22</v>
      </c>
      <c r="D21" s="1">
        <v>4592</v>
      </c>
      <c r="E21" s="1">
        <v>11637</v>
      </c>
      <c r="F21" s="1">
        <v>3799</v>
      </c>
      <c r="G21" s="1">
        <v>2215</v>
      </c>
      <c r="H21" s="1">
        <v>1790</v>
      </c>
      <c r="I21" s="3">
        <f t="shared" si="0"/>
        <v>24033</v>
      </c>
    </row>
    <row r="22" spans="1:9" x14ac:dyDescent="0.3">
      <c r="A22" s="2" t="s">
        <v>43</v>
      </c>
      <c r="B22" s="1" t="s">
        <v>13</v>
      </c>
      <c r="C22" s="1" t="s">
        <v>33</v>
      </c>
      <c r="D22" s="1">
        <v>6557</v>
      </c>
      <c r="E22" s="1">
        <v>10582</v>
      </c>
      <c r="F22" s="1">
        <v>3262</v>
      </c>
      <c r="G22" s="1">
        <v>1164</v>
      </c>
      <c r="H22" s="1">
        <v>847</v>
      </c>
      <c r="I22" s="3">
        <f t="shared" si="0"/>
        <v>22412</v>
      </c>
    </row>
    <row r="23" spans="1:9" x14ac:dyDescent="0.3">
      <c r="A23" s="2" t="s">
        <v>44</v>
      </c>
      <c r="B23" s="1" t="s">
        <v>24</v>
      </c>
      <c r="C23" s="1" t="s">
        <v>33</v>
      </c>
      <c r="D23" s="1">
        <v>2128</v>
      </c>
      <c r="E23" s="1">
        <v>6655</v>
      </c>
      <c r="F23" s="1">
        <v>1295</v>
      </c>
      <c r="G23" s="1">
        <v>648</v>
      </c>
      <c r="H23" s="1">
        <v>1155</v>
      </c>
      <c r="I23" s="3">
        <f t="shared" si="0"/>
        <v>11881</v>
      </c>
    </row>
    <row r="24" spans="1:9" x14ac:dyDescent="0.3">
      <c r="A24" s="2" t="s">
        <v>45</v>
      </c>
      <c r="B24" s="1" t="s">
        <v>24</v>
      </c>
      <c r="C24" s="1" t="s">
        <v>28</v>
      </c>
      <c r="D24" s="1">
        <v>6808</v>
      </c>
      <c r="E24" s="1">
        <v>3573</v>
      </c>
      <c r="F24" s="1">
        <v>4541</v>
      </c>
      <c r="G24" s="1">
        <v>2655</v>
      </c>
      <c r="H24" s="1">
        <v>800</v>
      </c>
      <c r="I24" s="3">
        <f t="shared" si="0"/>
        <v>18377</v>
      </c>
    </row>
    <row r="25" spans="1:9" x14ac:dyDescent="0.3">
      <c r="A25" s="2" t="s">
        <v>46</v>
      </c>
      <c r="B25" s="1" t="s">
        <v>10</v>
      </c>
      <c r="C25" s="1" t="s">
        <v>33</v>
      </c>
      <c r="D25" s="1">
        <v>2710</v>
      </c>
      <c r="E25" s="1">
        <v>10628</v>
      </c>
      <c r="F25" s="1">
        <v>4789</v>
      </c>
      <c r="G25" s="1">
        <v>2730</v>
      </c>
      <c r="H25" s="1">
        <v>776</v>
      </c>
      <c r="I25" s="3">
        <f t="shared" si="0"/>
        <v>21633</v>
      </c>
    </row>
    <row r="26" spans="1:9" x14ac:dyDescent="0.3">
      <c r="A26" s="7" t="s">
        <v>47</v>
      </c>
      <c r="B26" s="8" t="s">
        <v>31</v>
      </c>
      <c r="C26" s="8" t="s">
        <v>14</v>
      </c>
      <c r="D26" s="8">
        <v>5065</v>
      </c>
      <c r="E26" s="8">
        <v>3874</v>
      </c>
      <c r="F26" s="8">
        <v>3561</v>
      </c>
      <c r="G26" s="8">
        <v>1845</v>
      </c>
      <c r="H26" s="8">
        <v>1948</v>
      </c>
      <c r="I26" s="9">
        <f t="shared" si="0"/>
        <v>16293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destination wise spending</vt:lpstr>
      <vt:lpstr>monthly spending trend</vt:lpstr>
      <vt:lpstr>category expenses</vt:lpstr>
      <vt:lpstr>Travel_Expense_Data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Gunjan Parihar</cp:lastModifiedBy>
  <dcterms:created xsi:type="dcterms:W3CDTF">2026-05-15T07:48:51Z</dcterms:created>
  <dcterms:modified xsi:type="dcterms:W3CDTF">2026-05-15T15:33:41Z</dcterms:modified>
</cp:coreProperties>
</file>